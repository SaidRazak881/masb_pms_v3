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bu.razak\Downloads\Update By MASB\Governance System\MA sysem dr nizar\"/>
    </mc:Choice>
  </mc:AlternateContent>
  <xr:revisionPtr revIDLastSave="0" documentId="13_ncr:1_{D633233A-7EB4-4F68-ACE7-767101D6AEBD}" xr6:coauthVersionLast="36" xr6:coauthVersionMax="47" xr10:uidLastSave="{00000000-0000-0000-0000-000000000000}"/>
  <bookViews>
    <workbookView xWindow="0" yWindow="0" windowWidth="19200" windowHeight="6520" xr2:uid="{CDB6D147-1515-B446-9615-486DE3002320}"/>
  </bookViews>
  <sheets>
    <sheet name="Invoice" sheetId="14" r:id="rId1"/>
    <sheet name="Cost of Sale" sheetId="15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8" i="15" l="1"/>
  <c r="K38" i="15"/>
  <c r="J38" i="15"/>
  <c r="H38" i="15"/>
  <c r="O31" i="15"/>
  <c r="F31" i="15"/>
  <c r="O30" i="15"/>
  <c r="F30" i="15"/>
  <c r="A30" i="15"/>
  <c r="O29" i="15"/>
  <c r="F29" i="15"/>
  <c r="O28" i="15"/>
  <c r="F28" i="15"/>
  <c r="A28" i="15"/>
  <c r="O27" i="15"/>
  <c r="F27" i="15"/>
  <c r="O26" i="15"/>
  <c r="F26" i="15"/>
  <c r="O25" i="15"/>
  <c r="G25" i="15"/>
  <c r="F25" i="15"/>
  <c r="E25" i="15"/>
  <c r="D25" i="15"/>
  <c r="C25" i="15"/>
  <c r="O24" i="15"/>
  <c r="G24" i="15"/>
  <c r="F24" i="15"/>
  <c r="E24" i="15"/>
  <c r="D24" i="15"/>
  <c r="C24" i="15"/>
  <c r="O23" i="15"/>
  <c r="G23" i="15"/>
  <c r="F23" i="15"/>
  <c r="E23" i="15"/>
  <c r="D23" i="15"/>
  <c r="C23" i="15"/>
  <c r="O22" i="15"/>
  <c r="G22" i="15"/>
  <c r="F22" i="15"/>
  <c r="E22" i="15"/>
  <c r="D22" i="15"/>
  <c r="C22" i="15"/>
  <c r="O21" i="15"/>
  <c r="G21" i="15"/>
  <c r="F21" i="15"/>
  <c r="E21" i="15"/>
  <c r="D21" i="15"/>
  <c r="C21" i="15"/>
  <c r="O20" i="15"/>
  <c r="G20" i="15"/>
  <c r="F20" i="15"/>
  <c r="E20" i="15"/>
  <c r="D20" i="15"/>
  <c r="C20" i="15"/>
  <c r="O19" i="15"/>
  <c r="G19" i="15"/>
  <c r="F19" i="15"/>
  <c r="E19" i="15"/>
  <c r="D19" i="15"/>
  <c r="C19" i="15"/>
  <c r="O18" i="15"/>
  <c r="G18" i="15"/>
  <c r="F18" i="15"/>
  <c r="E18" i="15"/>
  <c r="D18" i="15"/>
  <c r="C18" i="15"/>
  <c r="O17" i="15"/>
  <c r="G17" i="15"/>
  <c r="F17" i="15"/>
  <c r="E17" i="15"/>
  <c r="D17" i="15"/>
  <c r="C17" i="15"/>
  <c r="O16" i="15"/>
  <c r="G16" i="15"/>
  <c r="F16" i="15"/>
  <c r="E16" i="15"/>
  <c r="D16" i="15"/>
  <c r="C16" i="15"/>
  <c r="O15" i="15"/>
  <c r="G15" i="15"/>
  <c r="F15" i="15"/>
  <c r="E15" i="15"/>
  <c r="D15" i="15"/>
  <c r="C15" i="15"/>
  <c r="O14" i="15"/>
  <c r="G14" i="15"/>
  <c r="F14" i="15"/>
  <c r="E14" i="15"/>
  <c r="D14" i="15"/>
  <c r="C14" i="15"/>
  <c r="O13" i="15"/>
  <c r="G13" i="15"/>
  <c r="F13" i="15"/>
  <c r="E13" i="15"/>
  <c r="D13" i="15"/>
  <c r="C13" i="15"/>
  <c r="O12" i="15"/>
  <c r="G12" i="15"/>
  <c r="F12" i="15"/>
  <c r="E12" i="15"/>
  <c r="D12" i="15"/>
  <c r="C12" i="15"/>
  <c r="O11" i="15"/>
  <c r="G11" i="15"/>
  <c r="F11" i="15"/>
  <c r="E11" i="15"/>
  <c r="D11" i="15"/>
  <c r="C11" i="15"/>
  <c r="O10" i="15"/>
  <c r="G10" i="15"/>
  <c r="F10" i="15"/>
  <c r="E10" i="15"/>
  <c r="D10" i="15"/>
  <c r="C10" i="15"/>
  <c r="O9" i="15"/>
  <c r="G9" i="15"/>
  <c r="F9" i="15"/>
  <c r="E9" i="15"/>
  <c r="D9" i="15"/>
  <c r="C9" i="15"/>
  <c r="O8" i="15"/>
  <c r="G8" i="15"/>
  <c r="F8" i="15"/>
  <c r="E8" i="15"/>
  <c r="D8" i="15"/>
  <c r="C8" i="15"/>
  <c r="O7" i="15"/>
  <c r="F7" i="15"/>
  <c r="E7" i="15"/>
  <c r="D7" i="15"/>
  <c r="C7" i="15"/>
  <c r="O6" i="15"/>
  <c r="G6" i="15"/>
  <c r="F6" i="15"/>
  <c r="E6" i="15"/>
  <c r="D6" i="15"/>
  <c r="C6" i="15"/>
  <c r="O5" i="15"/>
  <c r="G5" i="15"/>
  <c r="F5" i="15"/>
  <c r="E5" i="15"/>
  <c r="D5" i="15"/>
  <c r="C5" i="15"/>
  <c r="O4" i="15"/>
  <c r="G4" i="15"/>
  <c r="F4" i="15"/>
  <c r="E4" i="15"/>
  <c r="D4" i="15"/>
  <c r="C4" i="15"/>
  <c r="A4" i="15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O3" i="15"/>
  <c r="G3" i="15"/>
  <c r="G38" i="15" s="1"/>
  <c r="M38" i="15" s="1"/>
  <c r="F3" i="15"/>
  <c r="E3" i="15"/>
  <c r="D3" i="15"/>
  <c r="D38" i="15" s="1"/>
  <c r="C3" i="15"/>
  <c r="K48" i="14"/>
  <c r="I48" i="14"/>
  <c r="W39" i="14"/>
  <c r="A36" i="14"/>
  <c r="W33" i="14"/>
  <c r="W32" i="14"/>
  <c r="W31" i="14"/>
  <c r="W30" i="14"/>
  <c r="W29" i="14"/>
  <c r="R29" i="14"/>
  <c r="W28" i="14"/>
  <c r="R28" i="14"/>
  <c r="W27" i="14"/>
  <c r="R27" i="14"/>
  <c r="W26" i="14"/>
  <c r="R26" i="14"/>
  <c r="L26" i="14"/>
  <c r="W25" i="14"/>
  <c r="R25" i="14"/>
  <c r="W24" i="14"/>
  <c r="R24" i="14"/>
  <c r="N24" i="14"/>
  <c r="M24" i="14"/>
  <c r="W23" i="14"/>
  <c r="R23" i="14"/>
  <c r="N23" i="14"/>
  <c r="N48" i="14" s="1"/>
  <c r="M23" i="14"/>
  <c r="W22" i="14"/>
  <c r="R22" i="14"/>
  <c r="L22" i="14"/>
  <c r="M22" i="14" s="1"/>
  <c r="W21" i="14"/>
  <c r="R21" i="14"/>
  <c r="M21" i="14"/>
  <c r="L21" i="14"/>
  <c r="W20" i="14"/>
  <c r="R20" i="14"/>
  <c r="L20" i="14"/>
  <c r="M20" i="14" s="1"/>
  <c r="W19" i="14"/>
  <c r="R19" i="14"/>
  <c r="M19" i="14"/>
  <c r="L19" i="14"/>
  <c r="W18" i="14"/>
  <c r="R18" i="14"/>
  <c r="L18" i="14"/>
  <c r="M18" i="14" s="1"/>
  <c r="W17" i="14"/>
  <c r="R17" i="14"/>
  <c r="L17" i="14"/>
  <c r="M17" i="14" s="1"/>
  <c r="R16" i="14"/>
  <c r="M16" i="14"/>
  <c r="W15" i="14"/>
  <c r="R15" i="14"/>
  <c r="M15" i="14"/>
  <c r="L15" i="14"/>
  <c r="W14" i="14"/>
  <c r="R14" i="14"/>
  <c r="L14" i="14"/>
  <c r="M14" i="14" s="1"/>
  <c r="W13" i="14"/>
  <c r="R13" i="14"/>
  <c r="M13" i="14"/>
  <c r="W12" i="14"/>
  <c r="R12" i="14"/>
  <c r="M12" i="14"/>
  <c r="W11" i="14"/>
  <c r="R11" i="14"/>
  <c r="L11" i="14"/>
  <c r="M11" i="14" s="1"/>
  <c r="W10" i="14"/>
  <c r="R10" i="14"/>
  <c r="L10" i="14"/>
  <c r="M10" i="14" s="1"/>
  <c r="W9" i="14"/>
  <c r="R9" i="14"/>
  <c r="L9" i="14"/>
  <c r="M9" i="14" s="1"/>
  <c r="W8" i="14"/>
  <c r="R8" i="14"/>
  <c r="M8" i="14"/>
  <c r="L8" i="14"/>
  <c r="W7" i="14"/>
  <c r="R7" i="14"/>
  <c r="L7" i="14"/>
  <c r="M7" i="14" s="1"/>
  <c r="W6" i="14"/>
  <c r="R6" i="14"/>
  <c r="L6" i="14"/>
  <c r="M6" i="14" s="1"/>
  <c r="W5" i="14"/>
  <c r="R5" i="14"/>
  <c r="M5" i="14"/>
  <c r="W4" i="14"/>
  <c r="R4" i="14"/>
  <c r="M4" i="14"/>
  <c r="L4" i="14"/>
  <c r="W3" i="14"/>
  <c r="R3" i="14"/>
  <c r="L3" i="14"/>
  <c r="M3" i="14" s="1"/>
  <c r="A3" i="14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W2" i="14"/>
  <c r="R2" i="14"/>
  <c r="M2" i="14"/>
  <c r="M48" i="14" s="1"/>
  <c r="L2" i="14"/>
  <c r="L48" i="14" s="1"/>
</calcChain>
</file>

<file path=xl/sharedStrings.xml><?xml version="1.0" encoding="utf-8"?>
<sst xmlns="http://schemas.openxmlformats.org/spreadsheetml/2006/main" count="538" uniqueCount="211">
  <si>
    <t>No</t>
  </si>
  <si>
    <t>Company Name</t>
  </si>
  <si>
    <t>Training/Project Title</t>
  </si>
  <si>
    <t>Revenue</t>
  </si>
  <si>
    <t>Training Date Start</t>
  </si>
  <si>
    <t>Training Date End</t>
  </si>
  <si>
    <t>Quotation N0</t>
  </si>
  <si>
    <t>PO No.</t>
  </si>
  <si>
    <t xml:space="preserve">PO value excl. tax (RM)  </t>
  </si>
  <si>
    <t>Invoice No.</t>
  </si>
  <si>
    <t>Invoice value excl tax</t>
  </si>
  <si>
    <t>SST</t>
  </si>
  <si>
    <t>Total value</t>
  </si>
  <si>
    <t>Amount Collectionc w/o SST</t>
  </si>
  <si>
    <t>Invoice Date</t>
  </si>
  <si>
    <t>Payment Terms</t>
  </si>
  <si>
    <t>Due Date</t>
  </si>
  <si>
    <t>Days Outstanding</t>
  </si>
  <si>
    <t>Payment Method</t>
  </si>
  <si>
    <t>Payment Status</t>
  </si>
  <si>
    <t>Payment Date</t>
  </si>
  <si>
    <t>Account</t>
  </si>
  <si>
    <t>Status</t>
  </si>
  <si>
    <t>Account Manager</t>
  </si>
  <si>
    <t>PIC</t>
  </si>
  <si>
    <t>Remark</t>
  </si>
  <si>
    <t>MIMOS Berhad</t>
  </si>
  <si>
    <t>Training - AI Prompt Skills: Best Practices for Organization Productivity (In-House)</t>
  </si>
  <si>
    <t>Training-AI</t>
  </si>
  <si>
    <t>MA/QT/2026(0001)</t>
  </si>
  <si>
    <t>95000016/2026</t>
  </si>
  <si>
    <t>30 days</t>
  </si>
  <si>
    <t>HRDCorp Claimable</t>
  </si>
  <si>
    <t>PAID</t>
  </si>
  <si>
    <t>MSSB</t>
  </si>
  <si>
    <t>Adilah</t>
  </si>
  <si>
    <t>FGV R&amp;D Sdn Bhd</t>
  </si>
  <si>
    <t>Training - AI System Thinking (Public)</t>
  </si>
  <si>
    <t>MASB/QT/TRA/2026/0038</t>
  </si>
  <si>
    <t>95000015/2026</t>
  </si>
  <si>
    <t>Farrah</t>
  </si>
  <si>
    <t>NUMIX Engineering Sdn Bhd</t>
  </si>
  <si>
    <t>MASB/QT/TRA/2026/0042</t>
  </si>
  <si>
    <t>95000017/2026</t>
  </si>
  <si>
    <t>Efficient Frontier Consulting</t>
  </si>
  <si>
    <t>Space Rental - Auditorium</t>
  </si>
  <si>
    <t>Rental-Space</t>
  </si>
  <si>
    <t>MASB/QT/TRA/2026/0037</t>
  </si>
  <si>
    <t>95000063/2026</t>
  </si>
  <si>
    <t>Self-Pay</t>
  </si>
  <si>
    <t>MIMOS</t>
  </si>
  <si>
    <t>Letterhead MB</t>
  </si>
  <si>
    <t>University College TATI</t>
  </si>
  <si>
    <t>MASB/QT/TRA/2026/0066</t>
  </si>
  <si>
    <t>95000019/2026</t>
  </si>
  <si>
    <t>UNPAID</t>
  </si>
  <si>
    <t>Omar</t>
  </si>
  <si>
    <t>Training - Applied AI for Office Productivity &amp; Workflow Efficiency (In-House)</t>
  </si>
  <si>
    <t>MASB/QT/TRA/2026/0040</t>
  </si>
  <si>
    <t>95000047/2026</t>
  </si>
  <si>
    <t>SIRIM Academy</t>
  </si>
  <si>
    <t>Training - Overview of Semiconductor Industry (In-House)</t>
  </si>
  <si>
    <t>Training-Semiconductor</t>
  </si>
  <si>
    <t>MASB/QT/TRA/2026/0011rev1</t>
  </si>
  <si>
    <t>95000024/2026</t>
  </si>
  <si>
    <t>Pahang Skills Development Center</t>
  </si>
  <si>
    <t>Training - AI Training for PLC Students (In-House)</t>
  </si>
  <si>
    <t>MASB/QT/TRA/2026/0075</t>
  </si>
  <si>
    <t>95000025/2026</t>
  </si>
  <si>
    <t>UniKL MIDI</t>
  </si>
  <si>
    <t>Workshop - Industrial Design (In-House)</t>
  </si>
  <si>
    <t>Training- R&amp;D</t>
  </si>
  <si>
    <t>MASB/QT/TRA/2026/0077rev2</t>
  </si>
  <si>
    <t>95000026/2026</t>
  </si>
  <si>
    <t>MIMOS Services Sdn Bhd</t>
  </si>
  <si>
    <t>Training - Leadership &amp; Shared Vision: Aligning People, Purpose &amp; Performance (In-House)</t>
  </si>
  <si>
    <t>Training-GTM</t>
  </si>
  <si>
    <t>MASB/QT/TRA/2026/0036rev2</t>
  </si>
  <si>
    <t>95000251/2026</t>
  </si>
  <si>
    <t>Interscience Sdn Bhd</t>
  </si>
  <si>
    <t>Space Rental - Auditorium &amp; 5G Room</t>
  </si>
  <si>
    <t>MASB/QT/TRA/2026/0072</t>
  </si>
  <si>
    <t>95000252/2026</t>
  </si>
  <si>
    <t>13000029/2026</t>
  </si>
  <si>
    <t>Exzellent Profis Sdn Bhd</t>
  </si>
  <si>
    <t>Training - Train-The-Trainer: Certified AI Trainer (Public)</t>
  </si>
  <si>
    <t>Training-TTT</t>
  </si>
  <si>
    <t>MASB/QT/TRA/2026/0070rev4</t>
  </si>
  <si>
    <t>95000048/2026</t>
  </si>
  <si>
    <t>MASB/QT/TRA/2026/0073</t>
  </si>
  <si>
    <t>95000049/2026</t>
  </si>
  <si>
    <t>UPM</t>
  </si>
  <si>
    <t>Training - Ergonomics (In-House)</t>
  </si>
  <si>
    <t>MASB/QT/TRA/2026/0096</t>
  </si>
  <si>
    <t>95000039/2026</t>
  </si>
  <si>
    <t>DONE</t>
  </si>
  <si>
    <t>PPKS Ilmu Sdn Bhd</t>
  </si>
  <si>
    <t>Last Year Quo by Farrah</t>
  </si>
  <si>
    <t>95000040/2026</t>
  </si>
  <si>
    <t>Perbadanan Usahawan Nasional Berhad (PUNB)</t>
  </si>
  <si>
    <t>Training - AI System Thinking (In-House)</t>
  </si>
  <si>
    <t>MASB/QT/TRA/2026/0076rev2</t>
  </si>
  <si>
    <t>95000054/2026</t>
  </si>
  <si>
    <t>MINDEF</t>
  </si>
  <si>
    <t>Training - Train-The-Trainer: Certified AI Trainer (In-House)</t>
  </si>
  <si>
    <t>MASB/QT/TRA/2026/0032rev2</t>
  </si>
  <si>
    <t>95000053/2026</t>
  </si>
  <si>
    <t>ePerolehan</t>
  </si>
  <si>
    <t>UniKL BMI (Cohort 1)</t>
  </si>
  <si>
    <t>Workshop - Industrial Semiconductor (In-House)</t>
  </si>
  <si>
    <t>MASB/QT/TRA/2026/0078rev2</t>
  </si>
  <si>
    <t>95000061/2026</t>
  </si>
  <si>
    <t>UniKL BMI (Cohort 2)</t>
  </si>
  <si>
    <t>MASB/QT/TRA/2026/0095</t>
  </si>
  <si>
    <t>95000062/2026</t>
  </si>
  <si>
    <t>MIMOS Solutions Sdn Bhd</t>
  </si>
  <si>
    <t>Training - Leveraging AI to Accelerate End-to-End Tender Preparation and Proposal Development</t>
  </si>
  <si>
    <t>MASB/QT/TRA/2026/0083rev2</t>
  </si>
  <si>
    <t>95000078/2026</t>
  </si>
  <si>
    <t>Pending @ Fin</t>
  </si>
  <si>
    <t>Training - AI Training for Work Efficiency (In-House)</t>
  </si>
  <si>
    <t>MASB/QT/TRA/2026/0085</t>
  </si>
  <si>
    <t>13000012/2026</t>
  </si>
  <si>
    <t>Wice Solution</t>
  </si>
  <si>
    <t>Space Rental</t>
  </si>
  <si>
    <t>MASB/QT/TRA/2026/0093</t>
  </si>
  <si>
    <t>95000036/2026</t>
  </si>
  <si>
    <t>Abu Said</t>
  </si>
  <si>
    <t>Knowledgecom</t>
  </si>
  <si>
    <t>Yayasan Peneraju - Training Promotion</t>
  </si>
  <si>
    <t>N/A Comission base</t>
  </si>
  <si>
    <t>95000199/2026</t>
  </si>
  <si>
    <t>Training - K-Youth Semiconductor Phase 3</t>
  </si>
  <si>
    <t>95000052/2026</t>
  </si>
  <si>
    <t>Training - K-Youth Semiconductor Phase 1 &amp; 2</t>
  </si>
  <si>
    <t>No quotation - price stated in TOE</t>
  </si>
  <si>
    <t>95000748/2025</t>
  </si>
  <si>
    <t>KETENGAH</t>
  </si>
  <si>
    <t>95000060/2026</t>
  </si>
  <si>
    <t>Kementerian Sumber Manusia</t>
  </si>
  <si>
    <t xml:space="preserve">Training - Vibe Coding </t>
  </si>
  <si>
    <t>MASB/QT/TRA/2026/0035Rev1</t>
  </si>
  <si>
    <t>PO260000000210123</t>
  </si>
  <si>
    <t>95000033/2026</t>
  </si>
  <si>
    <t>Kementerian Digital</t>
  </si>
  <si>
    <t>Training - PKHD Penyedia Latihan Bagi Kursus Optimum NotebookLM</t>
  </si>
  <si>
    <t>95000073/2026</t>
  </si>
  <si>
    <t>JMTI</t>
  </si>
  <si>
    <t>Training-  Perkhidmatan Penyediaan Kursus Front End Wafer Fabrication - Process &amp; Manufacturing Operation - Level 4</t>
  </si>
  <si>
    <t>MASB/QT/TRA/2026/0119Rev3</t>
  </si>
  <si>
    <t xml:space="preserve">PO260000000409368 </t>
  </si>
  <si>
    <t>95000070/2026</t>
  </si>
  <si>
    <t>Fuziah</t>
  </si>
  <si>
    <t>KBS</t>
  </si>
  <si>
    <t>Training-  Vibe Coding</t>
  </si>
  <si>
    <t>MASB/QT/TRA/2026/0080</t>
  </si>
  <si>
    <t>95000076/2026</t>
  </si>
  <si>
    <t>INSKEN</t>
  </si>
  <si>
    <t>paid</t>
  </si>
  <si>
    <t>CPS-MIMOS</t>
  </si>
  <si>
    <t>National Dialogue on Trusted Intelligence (Conference)</t>
  </si>
  <si>
    <t>Others</t>
  </si>
  <si>
    <t>PO4400040551</t>
  </si>
  <si>
    <t>13000022/2026</t>
  </si>
  <si>
    <t>FOLLOW UP</t>
  </si>
  <si>
    <t>Zalina</t>
  </si>
  <si>
    <t>Workshop on National Dialogue on Trusted Intelligence</t>
  </si>
  <si>
    <t>PO4400040550</t>
  </si>
  <si>
    <t>13000023/2026</t>
  </si>
  <si>
    <t>ROSCIL</t>
  </si>
  <si>
    <t>TTT</t>
  </si>
  <si>
    <t>paid 29th March</t>
  </si>
  <si>
    <t>Embrodera</t>
  </si>
  <si>
    <t>Dr. Hamidah</t>
  </si>
  <si>
    <t xml:space="preserve">AI </t>
  </si>
  <si>
    <t>MASB/QT/TRA/2026/0064</t>
  </si>
  <si>
    <t>95000008/2026</t>
  </si>
  <si>
    <t>DENSO-PH</t>
  </si>
  <si>
    <t>Semiconductor</t>
  </si>
  <si>
    <t>UC TATI</t>
  </si>
  <si>
    <t>MASB/QT/TRA/2026/0047</t>
  </si>
  <si>
    <t>95000058/2026</t>
  </si>
  <si>
    <t>Bulletproof Your Tech Business</t>
  </si>
  <si>
    <t>MASB/QT/TRA/2026/0132</t>
  </si>
  <si>
    <t>95000081/2026</t>
  </si>
  <si>
    <t>14.08.2026</t>
  </si>
  <si>
    <t>IAB</t>
  </si>
  <si>
    <t>AI System Thinking</t>
  </si>
  <si>
    <t>MASB/QT/TRA/2026/0129</t>
  </si>
  <si>
    <t>UZMA</t>
  </si>
  <si>
    <t>Training- Mid management AI Strategic Thing Class</t>
  </si>
  <si>
    <t>TOTAL</t>
  </si>
  <si>
    <t>Net Profit</t>
  </si>
  <si>
    <t>Invoice value</t>
  </si>
  <si>
    <t>Amount Collection</t>
  </si>
  <si>
    <t>Cost of sales</t>
  </si>
  <si>
    <t>MIMOS Academy Cost</t>
  </si>
  <si>
    <t>Commission</t>
  </si>
  <si>
    <t>BRO incentive</t>
  </si>
  <si>
    <t>% Profit</t>
  </si>
  <si>
    <t xml:space="preserve"> excl. tax (RM) </t>
  </si>
  <si>
    <t>Efficient Frontier Consulting (SPACE RENTAL)</t>
  </si>
  <si>
    <t>No cost for MSSB</t>
  </si>
  <si>
    <t>Interscience Sdn Bhd (SPACE RENTAL)</t>
  </si>
  <si>
    <t>Paid</t>
  </si>
  <si>
    <t>walkin. Paid</t>
  </si>
  <si>
    <t>ROSCIL SYSTEM</t>
  </si>
  <si>
    <t>advance payment</t>
  </si>
  <si>
    <t>walkin Paid</t>
  </si>
  <si>
    <t>Dr Hamidah</t>
  </si>
  <si>
    <t>Denso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</si>
</sst>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M&quot;* #,##0.00_-;\-&quot;RM&quot;* #,##0.00_-;_-&quot;RM&quot;* &quot;-&quot;??_-;_-@_-"/>
    <numFmt numFmtId="164" formatCode="_(* #,##0.00_);_(* \(#,##0.00\);_(* &quot;-&quot;??_);_(@_)"/>
    <numFmt numFmtId="165" formatCode="&quot;RM&quot;#,##0.00"/>
    <numFmt numFmtId="166" formatCode="_-[$RM-4409]* #,##0.00_-;\-[$RM-4409]* #,##0.00_-;_-[$RM-4409]* &quot;-&quot;??_-;_-@_-"/>
    <numFmt numFmtId="167" formatCode="[$-409]d\-mmm\-yy;@"/>
    <numFmt numFmtId="168" formatCode="0.0"/>
    <numFmt numFmtId="169" formatCode="[$-409]dd\-mmm\-yy;@"/>
  </numFmts>
  <fonts count="34" x14ac:knownFonts="1"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theme="0"/>
      <name val="Arial"/>
    </font>
    <font>
      <sz val="9"/>
      <color theme="1"/>
      <name val="Arial"/>
    </font>
    <font>
      <sz val="9"/>
      <color rgb="FF242424"/>
      <name val="Arial"/>
    </font>
    <font>
      <sz val="11"/>
      <color theme="1"/>
      <name val="Arial"/>
    </font>
    <font>
      <sz val="14"/>
      <color theme="1"/>
      <name val="Arial"/>
    </font>
    <font>
      <b/>
      <sz val="9"/>
      <color theme="1"/>
      <name val="Arial"/>
    </font>
    <font>
      <sz val="10"/>
      <color theme="1"/>
      <name val="Arial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4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FF0000"/>
      <name val="Arial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sz val="11"/>
      <color rgb="FF242424"/>
      <name val="Calibri"/>
      <scheme val="minor"/>
    </font>
    <font>
      <sz val="11"/>
      <color rgb="FF000000"/>
      <name val="Calibri"/>
      <scheme val="minor"/>
    </font>
    <font>
      <b/>
      <sz val="9"/>
      <color rgb="FF000000"/>
      <name val="Arial"/>
    </font>
    <font>
      <sz val="10"/>
      <color rgb="FF000000"/>
      <name val="Arial"/>
    </font>
    <font>
      <sz val="14"/>
      <color rgb="FF000000"/>
      <name val="Arial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4F80BD"/>
        <bgColor indexed="64"/>
      </patternFill>
    </fill>
    <fill>
      <patternFill patternType="solid">
        <fgColor rgb="FF4E80B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0CECE"/>
        <bgColor rgb="FF000000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9"/>
      </top>
      <bottom/>
      <diagonal/>
    </border>
  </borders>
  <cellStyleXfs count="1">
    <xf numFmtId="0" fontId="0" fillId="0" borderId="0"/>
  </cellStyleXfs>
  <cellXfs count="283">
    <xf numFmtId="0" fontId="0" fillId="0" borderId="0" xfId="0"/>
    <xf numFmtId="0" fontId="5" fillId="0" borderId="6" xfId="0" applyFont="1" applyBorder="1" applyAlignment="1">
      <alignment horizontal="center" vertical="center"/>
    </xf>
    <xf numFmtId="0" fontId="8" fillId="0" borderId="0" xfId="0" applyFont="1"/>
    <xf numFmtId="0" fontId="8" fillId="0" borderId="6" xfId="0" applyFont="1" applyBorder="1"/>
    <xf numFmtId="0" fontId="5" fillId="0" borderId="0" xfId="0" applyFont="1"/>
    <xf numFmtId="165" fontId="2" fillId="5" borderId="0" xfId="0" applyNumberFormat="1" applyFont="1" applyFill="1" applyAlignment="1">
      <alignment horizontal="center" vertical="center" wrapText="1" readingOrder="1"/>
    </xf>
    <xf numFmtId="0" fontId="14" fillId="0" borderId="6" xfId="0" applyFont="1" applyBorder="1"/>
    <xf numFmtId="0" fontId="6" fillId="0" borderId="20" xfId="0" applyFont="1" applyBorder="1" applyAlignment="1">
      <alignment wrapText="1"/>
    </xf>
    <xf numFmtId="0" fontId="3" fillId="0" borderId="6" xfId="0" applyFont="1" applyBorder="1"/>
    <xf numFmtId="0" fontId="3" fillId="0" borderId="6" xfId="0" applyFont="1" applyBorder="1" applyAlignment="1">
      <alignment wrapText="1"/>
    </xf>
    <xf numFmtId="0" fontId="6" fillId="0" borderId="6" xfId="0" applyFont="1" applyBorder="1" applyAlignment="1">
      <alignment wrapText="1"/>
    </xf>
    <xf numFmtId="15" fontId="3" fillId="0" borderId="6" xfId="0" applyNumberFormat="1" applyFont="1" applyBorder="1"/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168" fontId="5" fillId="0" borderId="5" xfId="0" applyNumberFormat="1" applyFont="1" applyBorder="1" applyAlignment="1">
      <alignment horizontal="center" vertical="center"/>
    </xf>
    <xf numFmtId="15" fontId="3" fillId="0" borderId="6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 readingOrder="1"/>
    </xf>
    <xf numFmtId="169" fontId="2" fillId="2" borderId="0" xfId="0" applyNumberFormat="1" applyFont="1" applyFill="1" applyAlignment="1">
      <alignment horizontal="left" vertical="center" wrapText="1" readingOrder="1"/>
    </xf>
    <xf numFmtId="169" fontId="5" fillId="0" borderId="5" xfId="0" applyNumberFormat="1" applyFont="1" applyBorder="1" applyAlignment="1">
      <alignment horizontal="left"/>
    </xf>
    <xf numFmtId="167" fontId="5" fillId="0" borderId="5" xfId="0" applyNumberFormat="1" applyFont="1" applyBorder="1" applyAlignment="1">
      <alignment horizontal="center"/>
    </xf>
    <xf numFmtId="167" fontId="5" fillId="0" borderId="5" xfId="0" applyNumberFormat="1" applyFont="1" applyBorder="1"/>
    <xf numFmtId="0" fontId="9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wrapText="1"/>
    </xf>
    <xf numFmtId="0" fontId="6" fillId="0" borderId="5" xfId="0" applyFont="1" applyBorder="1"/>
    <xf numFmtId="0" fontId="5" fillId="0" borderId="5" xfId="0" applyFont="1" applyBorder="1" applyAlignment="1">
      <alignment horizontal="left"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left" wrapText="1"/>
    </xf>
    <xf numFmtId="169" fontId="3" fillId="0" borderId="5" xfId="0" applyNumberFormat="1" applyFont="1" applyBorder="1" applyAlignment="1">
      <alignment horizontal="left"/>
    </xf>
    <xf numFmtId="168" fontId="5" fillId="0" borderId="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 wrapText="1"/>
    </xf>
    <xf numFmtId="0" fontId="3" fillId="0" borderId="0" xfId="0" applyFont="1"/>
    <xf numFmtId="0" fontId="5" fillId="0" borderId="5" xfId="0" applyFont="1" applyBorder="1" applyAlignment="1">
      <alignment horizontal="left" vertical="center"/>
    </xf>
    <xf numFmtId="169" fontId="5" fillId="0" borderId="5" xfId="0" applyNumberFormat="1" applyFont="1" applyBorder="1" applyAlignment="1">
      <alignment horizontal="center"/>
    </xf>
    <xf numFmtId="15" fontId="3" fillId="0" borderId="6" xfId="0" applyNumberFormat="1" applyFont="1" applyBorder="1" applyAlignment="1">
      <alignment horizontal="center" vertical="center"/>
    </xf>
    <xf numFmtId="169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64" fontId="5" fillId="0" borderId="5" xfId="0" applyNumberFormat="1" applyFont="1" applyBorder="1"/>
    <xf numFmtId="164" fontId="3" fillId="0" borderId="6" xfId="0" applyNumberFormat="1" applyFont="1" applyBorder="1"/>
    <xf numFmtId="164" fontId="3" fillId="0" borderId="6" xfId="0" applyNumberFormat="1" applyFont="1" applyBorder="1" applyAlignment="1">
      <alignment wrapText="1"/>
    </xf>
    <xf numFmtId="169" fontId="5" fillId="0" borderId="0" xfId="0" applyNumberFormat="1" applyFont="1" applyAlignment="1">
      <alignment horizontal="center"/>
    </xf>
    <xf numFmtId="0" fontId="5" fillId="0" borderId="6" xfId="0" applyFont="1" applyBorder="1" applyAlignment="1">
      <alignment horizontal="left" wrapText="1"/>
    </xf>
    <xf numFmtId="164" fontId="5" fillId="0" borderId="6" xfId="0" applyNumberFormat="1" applyFont="1" applyBorder="1"/>
    <xf numFmtId="0" fontId="5" fillId="0" borderId="6" xfId="0" applyFont="1" applyBorder="1"/>
    <xf numFmtId="169" fontId="5" fillId="0" borderId="21" xfId="0" applyNumberFormat="1" applyFont="1" applyBorder="1" applyAlignment="1">
      <alignment horizontal="left"/>
    </xf>
    <xf numFmtId="167" fontId="5" fillId="0" borderId="22" xfId="0" applyNumberFormat="1" applyFont="1" applyBorder="1" applyAlignment="1">
      <alignment horizontal="center"/>
    </xf>
    <xf numFmtId="0" fontId="5" fillId="0" borderId="16" xfId="0" applyFont="1" applyBorder="1" applyAlignment="1">
      <alignment horizontal="left" wrapText="1"/>
    </xf>
    <xf numFmtId="164" fontId="5" fillId="0" borderId="16" xfId="0" applyNumberFormat="1" applyFont="1" applyBorder="1"/>
    <xf numFmtId="0" fontId="5" fillId="0" borderId="17" xfId="0" applyFont="1" applyBorder="1" applyAlignment="1">
      <alignment horizontal="left" wrapText="1"/>
    </xf>
    <xf numFmtId="164" fontId="3" fillId="0" borderId="23" xfId="0" applyNumberFormat="1" applyFont="1" applyBorder="1"/>
    <xf numFmtId="164" fontId="9" fillId="0" borderId="6" xfId="0" applyNumberFormat="1" applyFont="1" applyBorder="1" applyAlignment="1">
      <alignment horizontal="right" vertical="center" wrapText="1"/>
    </xf>
    <xf numFmtId="0" fontId="5" fillId="0" borderId="21" xfId="0" applyFont="1" applyBorder="1"/>
    <xf numFmtId="0" fontId="5" fillId="0" borderId="18" xfId="0" applyFont="1" applyBorder="1"/>
    <xf numFmtId="0" fontId="5" fillId="0" borderId="8" xfId="0" applyFont="1" applyBorder="1"/>
    <xf numFmtId="0" fontId="6" fillId="0" borderId="19" xfId="0" applyFont="1" applyBorder="1" applyAlignment="1">
      <alignment wrapText="1"/>
    </xf>
    <xf numFmtId="167" fontId="5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14" fillId="0" borderId="6" xfId="0" applyFont="1" applyBorder="1" applyAlignment="1">
      <alignment horizontal="center"/>
    </xf>
    <xf numFmtId="169" fontId="14" fillId="0" borderId="6" xfId="0" applyNumberFormat="1" applyFont="1" applyBorder="1" applyAlignment="1">
      <alignment horizontal="center" vertical="center"/>
    </xf>
    <xf numFmtId="169" fontId="14" fillId="0" borderId="6" xfId="0" applyNumberFormat="1" applyFont="1" applyBorder="1" applyAlignment="1">
      <alignment horizontal="left" vertical="center"/>
    </xf>
    <xf numFmtId="164" fontId="14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44" fontId="15" fillId="0" borderId="6" xfId="0" applyNumberFormat="1" applyFont="1" applyBorder="1"/>
    <xf numFmtId="167" fontId="14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7" fillId="8" borderId="24" xfId="0" applyFont="1" applyFill="1" applyBorder="1"/>
    <xf numFmtId="0" fontId="17" fillId="8" borderId="14" xfId="0" applyFont="1" applyFill="1" applyBorder="1"/>
    <xf numFmtId="0" fontId="18" fillId="8" borderId="14" xfId="0" applyFont="1" applyFill="1" applyBorder="1"/>
    <xf numFmtId="0" fontId="17" fillId="8" borderId="13" xfId="0" applyFont="1" applyFill="1" applyBorder="1"/>
    <xf numFmtId="0" fontId="16" fillId="8" borderId="14" xfId="0" applyFont="1" applyFill="1" applyBorder="1"/>
    <xf numFmtId="0" fontId="16" fillId="8" borderId="11" xfId="0" applyFont="1" applyFill="1" applyBorder="1"/>
    <xf numFmtId="0" fontId="18" fillId="8" borderId="13" xfId="0" applyFont="1" applyFill="1" applyBorder="1"/>
    <xf numFmtId="0" fontId="13" fillId="10" borderId="11" xfId="0" applyFont="1" applyFill="1" applyBorder="1"/>
    <xf numFmtId="0" fontId="16" fillId="10" borderId="24" xfId="0" applyFont="1" applyFill="1" applyBorder="1"/>
    <xf numFmtId="164" fontId="18" fillId="8" borderId="11" xfId="0" applyNumberFormat="1" applyFont="1" applyFill="1" applyBorder="1"/>
    <xf numFmtId="164" fontId="18" fillId="9" borderId="11" xfId="0" applyNumberFormat="1" applyFont="1" applyFill="1" applyBorder="1"/>
    <xf numFmtId="0" fontId="10" fillId="0" borderId="6" xfId="0" applyFont="1" applyBorder="1" applyAlignment="1">
      <alignment horizontal="left" vertical="center"/>
    </xf>
    <xf numFmtId="169" fontId="10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67" fontId="10" fillId="0" borderId="6" xfId="0" applyNumberFormat="1" applyFont="1" applyBorder="1" applyAlignment="1">
      <alignment horizontal="center" vertical="center"/>
    </xf>
    <xf numFmtId="16" fontId="5" fillId="0" borderId="6" xfId="0" applyNumberFormat="1" applyFont="1" applyBorder="1" applyAlignment="1">
      <alignment horizontal="left" vertical="center"/>
    </xf>
    <xf numFmtId="164" fontId="10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169" fontId="8" fillId="0" borderId="6" xfId="0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center"/>
    </xf>
    <xf numFmtId="0" fontId="10" fillId="0" borderId="6" xfId="0" applyFont="1" applyBorder="1" applyAlignment="1">
      <alignment horizontal="left"/>
    </xf>
    <xf numFmtId="0" fontId="10" fillId="0" borderId="24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169" fontId="10" fillId="0" borderId="14" xfId="0" applyNumberFormat="1" applyFont="1" applyBorder="1" applyAlignment="1">
      <alignment horizontal="center" vertical="center"/>
    </xf>
    <xf numFmtId="169" fontId="8" fillId="0" borderId="14" xfId="0" applyNumberFormat="1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164" fontId="8" fillId="0" borderId="11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44" fontId="7" fillId="0" borderId="11" xfId="0" applyNumberFormat="1" applyFont="1" applyBorder="1"/>
    <xf numFmtId="0" fontId="8" fillId="0" borderId="11" xfId="0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0" fillId="0" borderId="24" xfId="0" applyFont="1" applyBorder="1" applyAlignment="1">
      <alignment horizontal="left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169" fontId="5" fillId="0" borderId="6" xfId="0" applyNumberFormat="1" applyFont="1" applyBorder="1" applyAlignment="1">
      <alignment horizontal="center" vertical="center"/>
    </xf>
    <xf numFmtId="169" fontId="5" fillId="0" borderId="6" xfId="0" applyNumberFormat="1" applyFont="1" applyBorder="1" applyAlignment="1">
      <alignment horizontal="left" vertical="center"/>
    </xf>
    <xf numFmtId="2" fontId="5" fillId="0" borderId="6" xfId="0" applyNumberFormat="1" applyFont="1" applyBorder="1"/>
    <xf numFmtId="2" fontId="5" fillId="0" borderId="6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horizontal="left" vertical="center"/>
    </xf>
    <xf numFmtId="0" fontId="22" fillId="0" borderId="7" xfId="0" applyFont="1" applyBorder="1" applyAlignment="1">
      <alignment wrapText="1"/>
    </xf>
    <xf numFmtId="166" fontId="23" fillId="0" borderId="6" xfId="0" applyNumberFormat="1" applyFont="1" applyBorder="1"/>
    <xf numFmtId="44" fontId="21" fillId="0" borderId="6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wrapText="1"/>
    </xf>
    <xf numFmtId="0" fontId="23" fillId="0" borderId="6" xfId="0" applyFont="1" applyBorder="1" applyAlignment="1">
      <alignment wrapText="1"/>
    </xf>
    <xf numFmtId="0" fontId="22" fillId="0" borderId="10" xfId="0" applyFont="1" applyBorder="1" applyAlignment="1">
      <alignment wrapText="1"/>
    </xf>
    <xf numFmtId="44" fontId="21" fillId="0" borderId="11" xfId="0" applyNumberFormat="1" applyFont="1" applyBorder="1" applyAlignment="1">
      <alignment horizontal="center" vertical="center" wrapText="1"/>
    </xf>
    <xf numFmtId="0" fontId="22" fillId="0" borderId="20" xfId="0" applyFont="1" applyBorder="1" applyAlignment="1">
      <alignment wrapText="1"/>
    </xf>
    <xf numFmtId="0" fontId="21" fillId="6" borderId="8" xfId="0" applyFont="1" applyFill="1" applyBorder="1" applyAlignment="1">
      <alignment horizontal="center" vertical="center"/>
    </xf>
    <xf numFmtId="0" fontId="21" fillId="6" borderId="14" xfId="0" applyFont="1" applyFill="1" applyBorder="1" applyAlignment="1">
      <alignment horizontal="left" vertical="center"/>
    </xf>
    <xf numFmtId="0" fontId="21" fillId="6" borderId="9" xfId="0" applyFont="1" applyFill="1" applyBorder="1" applyAlignment="1">
      <alignment horizontal="center" vertical="center"/>
    </xf>
    <xf numFmtId="165" fontId="21" fillId="6" borderId="11" xfId="0" applyNumberFormat="1" applyFont="1" applyFill="1" applyBorder="1" applyAlignment="1">
      <alignment horizontal="center" vertical="center"/>
    </xf>
    <xf numFmtId="44" fontId="21" fillId="6" borderId="13" xfId="0" applyNumberFormat="1" applyFont="1" applyFill="1" applyBorder="1" applyAlignment="1">
      <alignment vertical="center"/>
    </xf>
    <xf numFmtId="44" fontId="21" fillId="6" borderId="14" xfId="0" applyNumberFormat="1" applyFont="1" applyFill="1" applyBorder="1" applyAlignment="1">
      <alignment vertical="center"/>
    </xf>
    <xf numFmtId="0" fontId="21" fillId="6" borderId="14" xfId="0" applyFont="1" applyFill="1" applyBorder="1" applyAlignment="1">
      <alignment horizontal="center" vertical="center"/>
    </xf>
    <xf numFmtId="0" fontId="21" fillId="6" borderId="13" xfId="0" applyFont="1" applyFill="1" applyBorder="1" applyAlignment="1">
      <alignment horizontal="left" vertical="center"/>
    </xf>
    <xf numFmtId="0" fontId="22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left" vertical="center"/>
    </xf>
    <xf numFmtId="164" fontId="3" fillId="0" borderId="5" xfId="0" applyNumberFormat="1" applyFont="1" applyBorder="1"/>
    <xf numFmtId="167" fontId="3" fillId="0" borderId="5" xfId="0" applyNumberFormat="1" applyFont="1" applyBorder="1" applyAlignment="1">
      <alignment horizontal="center"/>
    </xf>
    <xf numFmtId="168" fontId="3" fillId="0" borderId="5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 wrapText="1"/>
    </xf>
    <xf numFmtId="167" fontId="3" fillId="0" borderId="5" xfId="0" applyNumberFormat="1" applyFont="1" applyBorder="1"/>
    <xf numFmtId="0" fontId="3" fillId="0" borderId="6" xfId="0" applyFont="1" applyBorder="1" applyAlignment="1">
      <alignment horizontal="left" vertical="center"/>
    </xf>
    <xf numFmtId="169" fontId="3" fillId="0" borderId="6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168" fontId="3" fillId="0" borderId="6" xfId="0" applyNumberFormat="1" applyFont="1" applyBorder="1" applyAlignment="1">
      <alignment horizontal="center" vertical="center"/>
    </xf>
    <xf numFmtId="0" fontId="24" fillId="7" borderId="6" xfId="0" applyFont="1" applyFill="1" applyBorder="1" applyAlignment="1">
      <alignment horizontal="center" wrapText="1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left" vertical="center"/>
    </xf>
    <xf numFmtId="169" fontId="25" fillId="0" borderId="6" xfId="0" applyNumberFormat="1" applyFont="1" applyBorder="1" applyAlignment="1">
      <alignment horizontal="center" vertical="center"/>
    </xf>
    <xf numFmtId="169" fontId="3" fillId="0" borderId="6" xfId="0" applyNumberFormat="1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167" fontId="25" fillId="0" borderId="6" xfId="0" applyNumberFormat="1" applyFont="1" applyBorder="1" applyAlignment="1">
      <alignment horizontal="center" vertical="center"/>
    </xf>
    <xf numFmtId="0" fontId="26" fillId="0" borderId="6" xfId="0" applyFont="1" applyBorder="1"/>
    <xf numFmtId="167" fontId="26" fillId="0" borderId="6" xfId="0" applyNumberFormat="1" applyFont="1" applyBorder="1" applyAlignment="1">
      <alignment horizontal="center"/>
    </xf>
    <xf numFmtId="4" fontId="27" fillId="0" borderId="23" xfId="0" applyNumberFormat="1" applyFont="1" applyBorder="1"/>
    <xf numFmtId="167" fontId="28" fillId="0" borderId="13" xfId="0" applyNumberFormat="1" applyFont="1" applyBorder="1" applyAlignment="1">
      <alignment horizontal="center"/>
    </xf>
    <xf numFmtId="0" fontId="29" fillId="0" borderId="20" xfId="0" applyFont="1" applyBorder="1" applyAlignment="1">
      <alignment wrapText="1"/>
    </xf>
    <xf numFmtId="167" fontId="28" fillId="0" borderId="9" xfId="0" applyNumberFormat="1" applyFont="1" applyBorder="1" applyAlignment="1">
      <alignment horizontal="center" vertical="center"/>
    </xf>
    <xf numFmtId="167" fontId="28" fillId="0" borderId="6" xfId="0" applyNumberFormat="1" applyFont="1" applyBorder="1" applyAlignment="1">
      <alignment horizontal="center"/>
    </xf>
    <xf numFmtId="44" fontId="21" fillId="0" borderId="13" xfId="0" applyNumberFormat="1" applyFont="1" applyBorder="1" applyAlignment="1">
      <alignment horizontal="center" vertical="center" wrapText="1"/>
    </xf>
    <xf numFmtId="0" fontId="22" fillId="0" borderId="6" xfId="0" applyFont="1" applyBorder="1" applyAlignment="1">
      <alignment wrapText="1"/>
    </xf>
    <xf numFmtId="0" fontId="10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169" fontId="10" fillId="0" borderId="14" xfId="0" applyNumberFormat="1" applyFont="1" applyBorder="1" applyAlignment="1">
      <alignment horizontal="left" vertical="center"/>
    </xf>
    <xf numFmtId="169" fontId="5" fillId="0" borderId="14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169" fontId="10" fillId="0" borderId="6" xfId="0" applyNumberFormat="1" applyFont="1" applyBorder="1" applyAlignment="1">
      <alignment horizontal="left" vertical="center"/>
    </xf>
    <xf numFmtId="164" fontId="25" fillId="0" borderId="6" xfId="0" applyNumberFormat="1" applyFont="1" applyBorder="1"/>
    <xf numFmtId="0" fontId="30" fillId="0" borderId="20" xfId="0" applyFont="1" applyBorder="1" applyAlignment="1">
      <alignment wrapText="1"/>
    </xf>
    <xf numFmtId="0" fontId="25" fillId="0" borderId="6" xfId="0" applyFont="1" applyBorder="1"/>
    <xf numFmtId="0" fontId="10" fillId="0" borderId="14" xfId="0" applyFont="1" applyBorder="1" applyAlignment="1">
      <alignment horizontal="center" vertical="center"/>
    </xf>
    <xf numFmtId="0" fontId="32" fillId="7" borderId="6" xfId="0" applyFont="1" applyFill="1" applyBorder="1" applyAlignment="1">
      <alignment horizontal="center" wrapText="1"/>
    </xf>
    <xf numFmtId="167" fontId="10" fillId="0" borderId="11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vertical="center"/>
    </xf>
    <xf numFmtId="0" fontId="25" fillId="0" borderId="6" xfId="0" applyFont="1" applyBorder="1" applyAlignment="1">
      <alignment horizontal="center"/>
    </xf>
    <xf numFmtId="0" fontId="10" fillId="0" borderId="6" xfId="0" applyFont="1" applyBorder="1"/>
    <xf numFmtId="0" fontId="10" fillId="0" borderId="5" xfId="0" applyFont="1" applyBorder="1" applyAlignment="1">
      <alignment horizontal="left" vertical="center"/>
    </xf>
    <xf numFmtId="44" fontId="10" fillId="0" borderId="11" xfId="0" applyNumberFormat="1" applyFont="1" applyBorder="1"/>
    <xf numFmtId="0" fontId="10" fillId="0" borderId="13" xfId="0" applyFont="1" applyBorder="1" applyAlignment="1">
      <alignment vertical="center"/>
    </xf>
    <xf numFmtId="4" fontId="33" fillId="0" borderId="6" xfId="0" applyNumberFormat="1" applyFont="1" applyBorder="1"/>
    <xf numFmtId="4" fontId="27" fillId="0" borderId="6" xfId="0" applyNumberFormat="1" applyFont="1" applyBorder="1"/>
    <xf numFmtId="2" fontId="10" fillId="0" borderId="8" xfId="0" applyNumberFormat="1" applyFont="1" applyBorder="1" applyAlignment="1">
      <alignment horizontal="right" vertical="center"/>
    </xf>
    <xf numFmtId="0" fontId="10" fillId="0" borderId="24" xfId="0" applyFont="1" applyBorder="1" applyAlignment="1">
      <alignment horizontal="center" vertical="center"/>
    </xf>
    <xf numFmtId="4" fontId="10" fillId="0" borderId="24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164" fontId="10" fillId="0" borderId="2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left" vertical="center"/>
    </xf>
    <xf numFmtId="167" fontId="31" fillId="0" borderId="6" xfId="0" applyNumberFormat="1" applyFont="1" applyBorder="1" applyAlignment="1">
      <alignment horizontal="center" vertical="center"/>
    </xf>
    <xf numFmtId="167" fontId="31" fillId="0" borderId="6" xfId="0" applyNumberFormat="1" applyFont="1" applyBorder="1" applyAlignment="1">
      <alignment horizontal="center"/>
    </xf>
    <xf numFmtId="164" fontId="3" fillId="0" borderId="8" xfId="0" applyNumberFormat="1" applyFont="1" applyBorder="1"/>
    <xf numFmtId="164" fontId="5" fillId="0" borderId="24" xfId="0" applyNumberFormat="1" applyFont="1" applyBorder="1" applyAlignment="1">
      <alignment horizontal="center" vertical="center"/>
    </xf>
    <xf numFmtId="164" fontId="10" fillId="0" borderId="24" xfId="0" applyNumberFormat="1" applyFont="1" applyBorder="1" applyAlignment="1">
      <alignment horizontal="center" vertical="center"/>
    </xf>
    <xf numFmtId="164" fontId="25" fillId="0" borderId="9" xfId="0" applyNumberFormat="1" applyFont="1" applyBorder="1"/>
    <xf numFmtId="164" fontId="10" fillId="0" borderId="14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44" fontId="21" fillId="0" borderId="25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vertical="center" readingOrder="1"/>
    </xf>
    <xf numFmtId="165" fontId="2" fillId="2" borderId="5" xfId="0" applyNumberFormat="1" applyFont="1" applyFill="1" applyBorder="1" applyAlignment="1">
      <alignment vertical="center" wrapText="1" readingOrder="1"/>
    </xf>
    <xf numFmtId="165" fontId="2" fillId="2" borderId="16" xfId="0" applyNumberFormat="1" applyFont="1" applyFill="1" applyBorder="1" applyAlignment="1">
      <alignment vertical="center" wrapText="1" readingOrder="1"/>
    </xf>
    <xf numFmtId="0" fontId="2" fillId="2" borderId="0" xfId="0" applyFont="1" applyFill="1" applyAlignment="1">
      <alignment vertical="center" wrapText="1" readingOrder="1"/>
    </xf>
    <xf numFmtId="169" fontId="2" fillId="2" borderId="0" xfId="0" applyNumberFormat="1" applyFont="1" applyFill="1" applyAlignment="1">
      <alignment vertical="center" wrapText="1" readingOrder="1"/>
    </xf>
    <xf numFmtId="0" fontId="2" fillId="2" borderId="16" xfId="0" applyFont="1" applyFill="1" applyBorder="1" applyAlignment="1">
      <alignment vertical="center" readingOrder="1"/>
    </xf>
    <xf numFmtId="167" fontId="4" fillId="3" borderId="1" xfId="0" applyNumberFormat="1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4" fillId="4" borderId="5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167" fontId="4" fillId="3" borderId="16" xfId="0" applyNumberFormat="1" applyFont="1" applyFill="1" applyBorder="1" applyAlignment="1">
      <alignment vertical="center" wrapText="1"/>
    </xf>
    <xf numFmtId="167" fontId="4" fillId="3" borderId="18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167" fontId="4" fillId="4" borderId="1" xfId="0" applyNumberFormat="1" applyFont="1" applyFill="1" applyBorder="1" applyAlignment="1">
      <alignment vertical="center" wrapText="1"/>
    </xf>
    <xf numFmtId="0" fontId="2" fillId="4" borderId="0" xfId="0" applyFont="1" applyFill="1" applyAlignment="1">
      <alignment vertical="center"/>
    </xf>
    <xf numFmtId="4" fontId="27" fillId="0" borderId="11" xfId="0" applyNumberFormat="1" applyFont="1" applyBorder="1"/>
    <xf numFmtId="167" fontId="10" fillId="0" borderId="14" xfId="0" applyNumberFormat="1" applyFont="1" applyBorder="1" applyAlignment="1">
      <alignment horizontal="center" vertical="center"/>
    </xf>
    <xf numFmtId="167" fontId="8" fillId="0" borderId="14" xfId="0" applyNumberFormat="1" applyFont="1" applyBorder="1" applyAlignment="1">
      <alignment horizontal="center" vertical="center"/>
    </xf>
    <xf numFmtId="0" fontId="30" fillId="0" borderId="27" xfId="0" applyFont="1" applyBorder="1" applyAlignment="1">
      <alignment vertical="top"/>
    </xf>
    <xf numFmtId="0" fontId="1" fillId="0" borderId="6" xfId="0" applyFont="1" applyBorder="1" applyAlignment="1">
      <alignment horizontal="center"/>
    </xf>
    <xf numFmtId="0" fontId="1" fillId="0" borderId="5" xfId="0" applyFont="1" applyBorder="1"/>
    <xf numFmtId="167" fontId="1" fillId="0" borderId="6" xfId="0" applyNumberFormat="1" applyFont="1" applyBorder="1" applyAlignment="1">
      <alignment horizontal="center" wrapText="1"/>
    </xf>
    <xf numFmtId="167" fontId="1" fillId="0" borderId="6" xfId="0" applyNumberFormat="1" applyFont="1" applyBorder="1" applyAlignment="1">
      <alignment horizontal="center"/>
    </xf>
    <xf numFmtId="44" fontId="1" fillId="0" borderId="6" xfId="0" applyNumberFormat="1" applyFont="1" applyBorder="1"/>
    <xf numFmtId="0" fontId="1" fillId="0" borderId="6" xfId="0" applyFont="1" applyBorder="1" applyAlignment="1">
      <alignment vertical="center"/>
    </xf>
    <xf numFmtId="164" fontId="1" fillId="0" borderId="8" xfId="0" applyNumberFormat="1" applyFont="1" applyBorder="1"/>
    <xf numFmtId="10" fontId="1" fillId="0" borderId="6" xfId="0" applyNumberFormat="1" applyFont="1" applyBorder="1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44" fontId="1" fillId="0" borderId="10" xfId="0" applyNumberFormat="1" applyFont="1" applyBorder="1"/>
    <xf numFmtId="0" fontId="1" fillId="0" borderId="10" xfId="0" applyFont="1" applyBorder="1" applyAlignment="1">
      <alignment vertical="center"/>
    </xf>
    <xf numFmtId="0" fontId="1" fillId="0" borderId="10" xfId="0" applyFont="1" applyBorder="1"/>
    <xf numFmtId="164" fontId="1" fillId="0" borderId="12" xfId="0" applyNumberFormat="1" applyFont="1" applyBorder="1"/>
    <xf numFmtId="10" fontId="1" fillId="0" borderId="7" xfId="0" applyNumberFormat="1" applyFont="1" applyBorder="1"/>
    <xf numFmtId="0" fontId="1" fillId="0" borderId="7" xfId="0" applyFont="1" applyBorder="1" applyAlignment="1">
      <alignment horizontal="left" vertical="top" wrapText="1"/>
    </xf>
    <xf numFmtId="44" fontId="1" fillId="0" borderId="6" xfId="0" applyNumberFormat="1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left" vertical="top" wrapText="1"/>
    </xf>
    <xf numFmtId="44" fontId="1" fillId="0" borderId="11" xfId="0" applyNumberFormat="1" applyFont="1" applyBorder="1" applyAlignment="1">
      <alignment horizontal="left"/>
    </xf>
    <xf numFmtId="167" fontId="1" fillId="0" borderId="9" xfId="0" applyNumberFormat="1" applyFont="1" applyBorder="1" applyAlignment="1">
      <alignment horizontal="center"/>
    </xf>
    <xf numFmtId="44" fontId="1" fillId="0" borderId="13" xfId="0" applyNumberFormat="1" applyFont="1" applyBorder="1"/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44" fontId="1" fillId="0" borderId="25" xfId="0" applyNumberFormat="1" applyFont="1" applyBorder="1" applyAlignment="1">
      <alignment horizontal="left"/>
    </xf>
    <xf numFmtId="167" fontId="1" fillId="0" borderId="7" xfId="0" applyNumberFormat="1" applyFont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/>
    </xf>
    <xf numFmtId="0" fontId="1" fillId="0" borderId="6" xfId="0" applyFont="1" applyBorder="1"/>
    <xf numFmtId="44" fontId="1" fillId="0" borderId="26" xfId="0" applyNumberFormat="1" applyFont="1" applyBorder="1" applyAlignment="1">
      <alignment horizontal="left"/>
    </xf>
    <xf numFmtId="167" fontId="1" fillId="0" borderId="6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44" fontId="1" fillId="0" borderId="13" xfId="0" applyNumberFormat="1" applyFont="1" applyBorder="1" applyAlignment="1">
      <alignment horizontal="left"/>
    </xf>
    <xf numFmtId="167" fontId="1" fillId="0" borderId="14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4" xfId="0" applyFont="1" applyBorder="1" applyAlignment="1">
      <alignment horizontal="left" vertical="top" wrapText="1"/>
    </xf>
    <xf numFmtId="167" fontId="1" fillId="0" borderId="9" xfId="0" applyNumberFormat="1" applyFont="1" applyBorder="1" applyAlignment="1">
      <alignment horizontal="center" vertical="center"/>
    </xf>
    <xf numFmtId="167" fontId="1" fillId="0" borderId="14" xfId="0" applyNumberFormat="1" applyFont="1" applyBorder="1" applyAlignment="1">
      <alignment horizontal="center"/>
    </xf>
    <xf numFmtId="0" fontId="1" fillId="6" borderId="13" xfId="0" applyFont="1" applyFill="1" applyBorder="1"/>
    <xf numFmtId="164" fontId="1" fillId="6" borderId="6" xfId="0" applyNumberFormat="1" applyFont="1" applyFill="1" applyBorder="1"/>
    <xf numFmtId="10" fontId="1" fillId="6" borderId="6" xfId="0" applyNumberFormat="1" applyFont="1" applyFill="1" applyBorder="1"/>
    <xf numFmtId="0" fontId="2" fillId="5" borderId="4" xfId="0" applyFont="1" applyFill="1" applyBorder="1" applyAlignment="1">
      <alignment horizontal="center" vertical="center" readingOrder="1"/>
    </xf>
    <xf numFmtId="0" fontId="2" fillId="5" borderId="15" xfId="0" applyFont="1" applyFill="1" applyBorder="1" applyAlignment="1">
      <alignment horizontal="center" vertical="center" readingOrder="1"/>
    </xf>
    <xf numFmtId="0" fontId="2" fillId="5" borderId="0" xfId="0" applyFont="1" applyFill="1" applyAlignment="1">
      <alignment vertical="center" readingOrder="1"/>
    </xf>
    <xf numFmtId="0" fontId="2" fillId="5" borderId="14" xfId="0" applyFont="1" applyFill="1" applyBorder="1" applyAlignment="1">
      <alignment vertical="center" readingOrder="1"/>
    </xf>
    <xf numFmtId="0" fontId="2" fillId="5" borderId="0" xfId="0" applyFont="1" applyFill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readingOrder="1"/>
    </xf>
    <xf numFmtId="0" fontId="2" fillId="5" borderId="14" xfId="0" applyFont="1" applyFill="1" applyBorder="1" applyAlignment="1">
      <alignment horizontal="center" vertical="center" readingOrder="1"/>
    </xf>
    <xf numFmtId="0" fontId="12" fillId="5" borderId="0" xfId="0" applyFont="1" applyFill="1" applyAlignment="1">
      <alignment horizontal="center" vertical="center" wrapText="1" readingOrder="1"/>
    </xf>
    <xf numFmtId="0" fontId="12" fillId="5" borderId="14" xfId="0" applyFont="1" applyFill="1" applyBorder="1" applyAlignment="1">
      <alignment horizontal="center" vertical="center" wrapText="1" readingOrder="1"/>
    </xf>
    <xf numFmtId="0" fontId="2" fillId="5" borderId="0" xfId="0" applyFont="1" applyFill="1" applyAlignment="1">
      <alignment horizontal="center" vertical="center" wrapText="1" readingOrder="1"/>
    </xf>
    <xf numFmtId="0" fontId="4" fillId="5" borderId="0" xfId="0" applyFont="1" applyFill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 wrapText="1" readingOrder="1"/>
    </xf>
    <xf numFmtId="0" fontId="4" fillId="5" borderId="0" xfId="0" applyFont="1" applyFill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5" tint="-0.499984740745262"/>
      </font>
      <fill>
        <patternFill patternType="solid">
          <bgColor theme="5" tint="0.3999755851924192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F80BD"/>
      <color rgb="FF4E80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F518-6C02-449A-84E8-3D262A340CFC}">
  <dimension ref="A1:Z50"/>
  <sheetViews>
    <sheetView tabSelected="1" zoomScale="55" zoomScaleNormal="55" workbookViewId="0">
      <selection sqref="A1:XFD1048576"/>
    </sheetView>
  </sheetViews>
  <sheetFormatPr defaultRowHeight="15.5" x14ac:dyDescent="0.35"/>
  <cols>
    <col min="1" max="1" width="3.58203125" bestFit="1" customWidth="1"/>
    <col min="2" max="2" width="35.5" bestFit="1" customWidth="1"/>
    <col min="3" max="3" width="86.33203125" bestFit="1" customWidth="1"/>
    <col min="4" max="4" width="20.6640625" bestFit="1" customWidth="1"/>
    <col min="5" max="5" width="9.75" bestFit="1" customWidth="1"/>
    <col min="6" max="6" width="9" bestFit="1" customWidth="1"/>
    <col min="7" max="7" width="24.75" bestFit="1" customWidth="1"/>
    <col min="8" max="8" width="17.33203125" bestFit="1" customWidth="1"/>
    <col min="9" max="9" width="12.6640625" bestFit="1" customWidth="1"/>
    <col min="10" max="10" width="12.33203125" bestFit="1" customWidth="1"/>
    <col min="11" max="11" width="12.5" bestFit="1" customWidth="1"/>
    <col min="12" max="12" width="11.4140625" bestFit="1" customWidth="1"/>
    <col min="13" max="13" width="13" bestFit="1" customWidth="1"/>
    <col min="14" max="14" width="17.83203125" bestFit="1" customWidth="1"/>
    <col min="15" max="15" width="8.83203125" bestFit="1" customWidth="1"/>
    <col min="16" max="16" width="8" bestFit="1" customWidth="1"/>
    <col min="17" max="17" width="9.08203125" bestFit="1" customWidth="1"/>
    <col min="18" max="18" width="17.9140625" bestFit="1" customWidth="1"/>
    <col min="19" max="19" width="16.9140625" bestFit="1" customWidth="1"/>
    <col min="20" max="20" width="8" bestFit="1" customWidth="1"/>
    <col min="21" max="21" width="9" bestFit="1" customWidth="1"/>
    <col min="22" max="22" width="8.4140625" bestFit="1" customWidth="1"/>
    <col min="23" max="23" width="11.58203125" bestFit="1" customWidth="1"/>
    <col min="24" max="24" width="16.33203125" bestFit="1" customWidth="1"/>
    <col min="25" max="25" width="7.33203125" bestFit="1" customWidth="1"/>
    <col min="26" max="26" width="7.9140625" bestFit="1" customWidth="1"/>
  </cols>
  <sheetData>
    <row r="1" spans="1:26" ht="34.5" x14ac:dyDescent="0.35">
      <c r="A1" s="18" t="s">
        <v>0</v>
      </c>
      <c r="B1" s="19" t="s">
        <v>1</v>
      </c>
      <c r="C1" s="19" t="s">
        <v>2</v>
      </c>
      <c r="D1" s="205" t="s">
        <v>3</v>
      </c>
      <c r="E1" s="206" t="s">
        <v>4</v>
      </c>
      <c r="F1" s="206" t="s">
        <v>5</v>
      </c>
      <c r="G1" s="20" t="s">
        <v>6</v>
      </c>
      <c r="H1" s="207" t="s">
        <v>7</v>
      </c>
      <c r="I1" s="203" t="s">
        <v>8</v>
      </c>
      <c r="J1" s="207" t="s">
        <v>9</v>
      </c>
      <c r="K1" s="204" t="s">
        <v>10</v>
      </c>
      <c r="L1" s="211" t="s">
        <v>11</v>
      </c>
      <c r="M1" s="212" t="s">
        <v>12</v>
      </c>
      <c r="N1" s="211" t="s">
        <v>13</v>
      </c>
      <c r="O1" s="213" t="s">
        <v>14</v>
      </c>
      <c r="P1" s="214" t="s">
        <v>15</v>
      </c>
      <c r="Q1" s="208" t="s">
        <v>16</v>
      </c>
      <c r="R1" s="209" t="s">
        <v>17</v>
      </c>
      <c r="S1" s="209" t="s">
        <v>18</v>
      </c>
      <c r="T1" s="215" t="s">
        <v>19</v>
      </c>
      <c r="U1" s="216" t="s">
        <v>20</v>
      </c>
      <c r="V1" s="202" t="s">
        <v>21</v>
      </c>
      <c r="W1" s="217" t="s">
        <v>22</v>
      </c>
      <c r="X1" s="210" t="s">
        <v>23</v>
      </c>
      <c r="Y1" s="210" t="s">
        <v>24</v>
      </c>
      <c r="Z1" s="210" t="s">
        <v>25</v>
      </c>
    </row>
    <row r="2" spans="1:26" x14ac:dyDescent="0.35">
      <c r="A2" s="14">
        <v>1</v>
      </c>
      <c r="B2" s="15" t="s">
        <v>26</v>
      </c>
      <c r="C2" s="15" t="s">
        <v>27</v>
      </c>
      <c r="D2" s="35" t="s">
        <v>28</v>
      </c>
      <c r="E2" s="36">
        <v>46028</v>
      </c>
      <c r="F2" s="36">
        <v>46028</v>
      </c>
      <c r="G2" s="15" t="s">
        <v>29</v>
      </c>
      <c r="H2" s="15"/>
      <c r="I2" s="40">
        <v>8500</v>
      </c>
      <c r="J2" s="15" t="s">
        <v>30</v>
      </c>
      <c r="K2" s="40">
        <v>8500</v>
      </c>
      <c r="L2" s="40">
        <f>0.08*K2</f>
        <v>680</v>
      </c>
      <c r="M2" s="40">
        <f>K2+L2</f>
        <v>9180</v>
      </c>
      <c r="N2" s="40">
        <v>8500</v>
      </c>
      <c r="O2" s="22">
        <v>46108</v>
      </c>
      <c r="P2" s="15" t="s">
        <v>31</v>
      </c>
      <c r="Q2" s="22">
        <v>46138</v>
      </c>
      <c r="R2" s="16" t="str">
        <f ca="1">IF(Q2&lt;TODAY(),"Overdue by "&amp;(TODAY()-Q2)&amp;" days")</f>
        <v>Overdue by 123 days</v>
      </c>
      <c r="S2" s="15" t="s">
        <v>32</v>
      </c>
      <c r="T2" s="24" t="s">
        <v>33</v>
      </c>
      <c r="U2" s="23">
        <v>46118</v>
      </c>
      <c r="V2" s="15" t="s">
        <v>34</v>
      </c>
      <c r="W2" s="14" t="str">
        <f>IF(O2="", "", IF(U2&lt;&gt;"", "DONE", "FOLLOW UP"))</f>
        <v>DONE</v>
      </c>
      <c r="X2" s="15" t="s">
        <v>35</v>
      </c>
      <c r="Y2" s="15" t="s">
        <v>35</v>
      </c>
      <c r="Z2" s="25"/>
    </row>
    <row r="3" spans="1:26" x14ac:dyDescent="0.35">
      <c r="A3" s="14">
        <f>A2+1</f>
        <v>2</v>
      </c>
      <c r="B3" s="15" t="s">
        <v>36</v>
      </c>
      <c r="C3" s="15" t="s">
        <v>37</v>
      </c>
      <c r="D3" s="35" t="s">
        <v>28</v>
      </c>
      <c r="E3" s="36">
        <v>46050</v>
      </c>
      <c r="F3" s="36">
        <v>46051</v>
      </c>
      <c r="G3" s="15" t="s">
        <v>38</v>
      </c>
      <c r="H3" s="15"/>
      <c r="I3" s="40">
        <v>1842.59</v>
      </c>
      <c r="J3" s="15" t="s">
        <v>39</v>
      </c>
      <c r="K3" s="40">
        <v>1842.59</v>
      </c>
      <c r="L3" s="40">
        <f t="shared" ref="L3:L26" si="0">0.08*K3</f>
        <v>147.40719999999999</v>
      </c>
      <c r="M3" s="40">
        <f t="shared" ref="M3:M24" si="1">L3+K3</f>
        <v>1989.9971999999998</v>
      </c>
      <c r="N3" s="40">
        <v>1842.59</v>
      </c>
      <c r="O3" s="22">
        <v>46108</v>
      </c>
      <c r="P3" s="15" t="s">
        <v>31</v>
      </c>
      <c r="Q3" s="22">
        <v>46138</v>
      </c>
      <c r="R3" s="16" t="str">
        <f t="shared" ref="R3:R26" ca="1" si="2">IF(Q3&lt;TODAY(),"Overdue by "&amp;(TODAY()-Q3)&amp;" days")</f>
        <v>Overdue by 123 days</v>
      </c>
      <c r="S3" s="15" t="s">
        <v>32</v>
      </c>
      <c r="T3" s="24" t="s">
        <v>33</v>
      </c>
      <c r="U3" s="23">
        <v>46121</v>
      </c>
      <c r="V3" s="15" t="s">
        <v>34</v>
      </c>
      <c r="W3" s="14" t="str">
        <f t="shared" ref="W3:W33" si="3">IF(O3="", "", IF(U3&lt;&gt;"", "DONE", "FOLLOW UP"))</f>
        <v>DONE</v>
      </c>
      <c r="X3" s="15" t="s">
        <v>40</v>
      </c>
      <c r="Y3" s="15" t="s">
        <v>35</v>
      </c>
      <c r="Z3" s="25"/>
    </row>
    <row r="4" spans="1:26" x14ac:dyDescent="0.35">
      <c r="A4" s="14">
        <f t="shared" ref="A4:A22" si="4">A3+1</f>
        <v>3</v>
      </c>
      <c r="B4" s="15" t="s">
        <v>41</v>
      </c>
      <c r="C4" s="15" t="s">
        <v>37</v>
      </c>
      <c r="D4" s="35" t="s">
        <v>28</v>
      </c>
      <c r="E4" s="36">
        <v>46050</v>
      </c>
      <c r="F4" s="36">
        <v>46051</v>
      </c>
      <c r="G4" s="15" t="s">
        <v>42</v>
      </c>
      <c r="H4" s="15"/>
      <c r="I4" s="40">
        <v>7370.37</v>
      </c>
      <c r="J4" s="15" t="s">
        <v>43</v>
      </c>
      <c r="K4" s="40">
        <v>7370.37</v>
      </c>
      <c r="L4" s="40">
        <f t="shared" si="0"/>
        <v>589.62959999999998</v>
      </c>
      <c r="M4" s="40">
        <f t="shared" si="1"/>
        <v>7959.9996000000001</v>
      </c>
      <c r="N4" s="40">
        <v>7370.37</v>
      </c>
      <c r="O4" s="22">
        <v>46108</v>
      </c>
      <c r="P4" s="15" t="s">
        <v>31</v>
      </c>
      <c r="Q4" s="22">
        <v>46138</v>
      </c>
      <c r="R4" s="16" t="str">
        <f t="shared" ca="1" si="2"/>
        <v>Overdue by 123 days</v>
      </c>
      <c r="S4" s="15" t="s">
        <v>32</v>
      </c>
      <c r="T4" s="24" t="s">
        <v>33</v>
      </c>
      <c r="U4" s="23">
        <v>46125</v>
      </c>
      <c r="V4" s="15" t="s">
        <v>34</v>
      </c>
      <c r="W4" s="14" t="str">
        <f t="shared" si="3"/>
        <v>DONE</v>
      </c>
      <c r="X4" s="15" t="s">
        <v>40</v>
      </c>
      <c r="Y4" s="15" t="s">
        <v>35</v>
      </c>
      <c r="Z4" s="25"/>
    </row>
    <row r="5" spans="1:26" ht="24" x14ac:dyDescent="0.35">
      <c r="A5" s="14">
        <f t="shared" si="4"/>
        <v>4</v>
      </c>
      <c r="B5" s="15" t="s">
        <v>44</v>
      </c>
      <c r="C5" s="15" t="s">
        <v>45</v>
      </c>
      <c r="D5" s="35" t="s">
        <v>46</v>
      </c>
      <c r="E5" s="36">
        <v>46067</v>
      </c>
      <c r="F5" s="36">
        <v>46067</v>
      </c>
      <c r="G5" s="15" t="s">
        <v>47</v>
      </c>
      <c r="H5" s="15"/>
      <c r="I5" s="40">
        <v>2000</v>
      </c>
      <c r="J5" s="15" t="s">
        <v>48</v>
      </c>
      <c r="K5" s="40">
        <v>2000</v>
      </c>
      <c r="L5" s="40">
        <v>0</v>
      </c>
      <c r="M5" s="40">
        <f t="shared" si="1"/>
        <v>2000</v>
      </c>
      <c r="N5" s="40">
        <v>2000</v>
      </c>
      <c r="O5" s="22">
        <v>46062</v>
      </c>
      <c r="P5" s="15" t="s">
        <v>31</v>
      </c>
      <c r="Q5" s="22">
        <v>46092</v>
      </c>
      <c r="R5" s="16" t="str">
        <f t="shared" ca="1" si="2"/>
        <v>Overdue by 169 days</v>
      </c>
      <c r="S5" s="15" t="s">
        <v>49</v>
      </c>
      <c r="T5" s="24" t="s">
        <v>33</v>
      </c>
      <c r="U5" s="23">
        <v>46053</v>
      </c>
      <c r="V5" s="15" t="s">
        <v>50</v>
      </c>
      <c r="W5" s="14" t="str">
        <f t="shared" si="3"/>
        <v>DONE</v>
      </c>
      <c r="X5" s="15" t="s">
        <v>35</v>
      </c>
      <c r="Y5" s="15" t="s">
        <v>35</v>
      </c>
      <c r="Z5" s="25" t="s">
        <v>51</v>
      </c>
    </row>
    <row r="6" spans="1:26" x14ac:dyDescent="0.35">
      <c r="A6" s="14">
        <f t="shared" si="4"/>
        <v>5</v>
      </c>
      <c r="B6" s="15" t="s">
        <v>52</v>
      </c>
      <c r="C6" s="15" t="s">
        <v>37</v>
      </c>
      <c r="D6" s="35" t="s">
        <v>28</v>
      </c>
      <c r="E6" s="36">
        <v>46062</v>
      </c>
      <c r="F6" s="36">
        <v>46063</v>
      </c>
      <c r="G6" s="15" t="s">
        <v>53</v>
      </c>
      <c r="H6" s="15"/>
      <c r="I6" s="40">
        <v>4166.67</v>
      </c>
      <c r="J6" s="15" t="s">
        <v>54</v>
      </c>
      <c r="K6" s="40">
        <v>4166.67</v>
      </c>
      <c r="L6" s="40">
        <f t="shared" si="0"/>
        <v>333.33359999999999</v>
      </c>
      <c r="M6" s="40">
        <f t="shared" si="1"/>
        <v>4500.0036</v>
      </c>
      <c r="N6" s="40">
        <v>4166.67</v>
      </c>
      <c r="O6" s="22">
        <v>46108</v>
      </c>
      <c r="P6" s="15" t="s">
        <v>31</v>
      </c>
      <c r="Q6" s="22">
        <v>46138</v>
      </c>
      <c r="R6" s="16" t="str">
        <f t="shared" ca="1" si="2"/>
        <v>Overdue by 123 days</v>
      </c>
      <c r="S6" s="15" t="s">
        <v>49</v>
      </c>
      <c r="T6" s="24" t="s">
        <v>55</v>
      </c>
      <c r="U6" s="23"/>
      <c r="V6" s="15" t="s">
        <v>34</v>
      </c>
      <c r="W6" s="14" t="str">
        <f t="shared" si="3"/>
        <v>FOLLOW UP</v>
      </c>
      <c r="X6" s="15" t="s">
        <v>40</v>
      </c>
      <c r="Y6" s="15" t="s">
        <v>56</v>
      </c>
      <c r="Z6" s="25"/>
    </row>
    <row r="7" spans="1:26" x14ac:dyDescent="0.35">
      <c r="A7" s="14">
        <f t="shared" si="4"/>
        <v>6</v>
      </c>
      <c r="B7" s="15" t="s">
        <v>26</v>
      </c>
      <c r="C7" s="15" t="s">
        <v>57</v>
      </c>
      <c r="D7" s="35" t="s">
        <v>28</v>
      </c>
      <c r="E7" s="36">
        <v>46086</v>
      </c>
      <c r="F7" s="36">
        <v>46086</v>
      </c>
      <c r="G7" s="15" t="s">
        <v>58</v>
      </c>
      <c r="H7" s="15"/>
      <c r="I7" s="40">
        <v>9722.2199999999993</v>
      </c>
      <c r="J7" s="15" t="s">
        <v>59</v>
      </c>
      <c r="K7" s="40">
        <v>9722.2199999999993</v>
      </c>
      <c r="L7" s="40">
        <f t="shared" si="0"/>
        <v>777.77760000000001</v>
      </c>
      <c r="M7" s="40">
        <f t="shared" si="1"/>
        <v>10499.997599999999</v>
      </c>
      <c r="N7" s="40">
        <v>9722.2199999999993</v>
      </c>
      <c r="O7" s="22">
        <v>46157</v>
      </c>
      <c r="P7" s="15" t="s">
        <v>31</v>
      </c>
      <c r="Q7" s="22">
        <v>46187</v>
      </c>
      <c r="R7" s="16" t="str">
        <f t="shared" ca="1" si="2"/>
        <v>Overdue by 74 days</v>
      </c>
      <c r="S7" s="15" t="s">
        <v>32</v>
      </c>
      <c r="T7" s="24" t="s">
        <v>33</v>
      </c>
      <c r="U7" s="23">
        <v>46175</v>
      </c>
      <c r="V7" s="15" t="s">
        <v>34</v>
      </c>
      <c r="W7" s="14" t="str">
        <f t="shared" si="3"/>
        <v>DONE</v>
      </c>
      <c r="X7" s="15" t="s">
        <v>35</v>
      </c>
      <c r="Y7" s="15" t="s">
        <v>35</v>
      </c>
      <c r="Z7" s="25"/>
    </row>
    <row r="8" spans="1:26" x14ac:dyDescent="0.35">
      <c r="A8" s="14">
        <f t="shared" si="4"/>
        <v>7</v>
      </c>
      <c r="B8" s="15" t="s">
        <v>60</v>
      </c>
      <c r="C8" s="15" t="s">
        <v>61</v>
      </c>
      <c r="D8" s="35" t="s">
        <v>62</v>
      </c>
      <c r="E8" s="36">
        <v>46086</v>
      </c>
      <c r="F8" s="36">
        <v>46087</v>
      </c>
      <c r="G8" s="15" t="s">
        <v>63</v>
      </c>
      <c r="H8" s="15"/>
      <c r="I8" s="40">
        <v>19443.52</v>
      </c>
      <c r="J8" s="15" t="s">
        <v>64</v>
      </c>
      <c r="K8" s="40">
        <v>19443.52</v>
      </c>
      <c r="L8" s="40">
        <f t="shared" si="0"/>
        <v>1555.4816000000001</v>
      </c>
      <c r="M8" s="40">
        <f t="shared" si="1"/>
        <v>20999.0016</v>
      </c>
      <c r="N8" s="40">
        <v>19443.52</v>
      </c>
      <c r="O8" s="22">
        <v>46118</v>
      </c>
      <c r="P8" s="15" t="s">
        <v>31</v>
      </c>
      <c r="Q8" s="22">
        <v>46148</v>
      </c>
      <c r="R8" s="16" t="str">
        <f t="shared" ca="1" si="2"/>
        <v>Overdue by 113 days</v>
      </c>
      <c r="S8" s="15" t="s">
        <v>49</v>
      </c>
      <c r="T8" s="24" t="s">
        <v>55</v>
      </c>
      <c r="U8" s="23"/>
      <c r="V8" s="15" t="s">
        <v>34</v>
      </c>
      <c r="W8" s="14" t="str">
        <f t="shared" si="3"/>
        <v>FOLLOW UP</v>
      </c>
      <c r="X8" s="15" t="s">
        <v>40</v>
      </c>
      <c r="Y8" s="15" t="s">
        <v>35</v>
      </c>
      <c r="Z8" s="25"/>
    </row>
    <row r="9" spans="1:26" x14ac:dyDescent="0.35">
      <c r="A9" s="14">
        <f t="shared" si="4"/>
        <v>8</v>
      </c>
      <c r="B9" s="15" t="s">
        <v>65</v>
      </c>
      <c r="C9" s="15" t="s">
        <v>66</v>
      </c>
      <c r="D9" s="35" t="s">
        <v>28</v>
      </c>
      <c r="E9" s="36">
        <v>46091</v>
      </c>
      <c r="F9" s="36">
        <v>46092</v>
      </c>
      <c r="G9" s="15" t="s">
        <v>67</v>
      </c>
      <c r="H9" s="15"/>
      <c r="I9" s="40">
        <v>8000</v>
      </c>
      <c r="J9" s="15" t="s">
        <v>68</v>
      </c>
      <c r="K9" s="40">
        <v>8000</v>
      </c>
      <c r="L9" s="40">
        <f t="shared" si="0"/>
        <v>640</v>
      </c>
      <c r="M9" s="40">
        <f t="shared" si="1"/>
        <v>8640</v>
      </c>
      <c r="N9" s="40">
        <v>8000</v>
      </c>
      <c r="O9" s="22">
        <v>46118</v>
      </c>
      <c r="P9" s="15" t="s">
        <v>31</v>
      </c>
      <c r="Q9" s="22">
        <v>46148</v>
      </c>
      <c r="R9" s="16" t="str">
        <f t="shared" ca="1" si="2"/>
        <v>Overdue by 113 days</v>
      </c>
      <c r="S9" s="15" t="s">
        <v>49</v>
      </c>
      <c r="T9" s="24" t="s">
        <v>55</v>
      </c>
      <c r="U9" s="23"/>
      <c r="V9" s="15" t="s">
        <v>34</v>
      </c>
      <c r="W9" s="14" t="str">
        <f t="shared" si="3"/>
        <v>FOLLOW UP</v>
      </c>
      <c r="X9" s="15" t="s">
        <v>35</v>
      </c>
      <c r="Y9" s="15" t="s">
        <v>35</v>
      </c>
      <c r="Z9" s="25"/>
    </row>
    <row r="10" spans="1:26" x14ac:dyDescent="0.35">
      <c r="A10" s="14">
        <f t="shared" si="4"/>
        <v>9</v>
      </c>
      <c r="B10" s="15" t="s">
        <v>69</v>
      </c>
      <c r="C10" s="15" t="s">
        <v>70</v>
      </c>
      <c r="D10" s="35" t="s">
        <v>71</v>
      </c>
      <c r="E10" s="36">
        <v>46118</v>
      </c>
      <c r="F10" s="36">
        <v>46118</v>
      </c>
      <c r="G10" s="15" t="s">
        <v>72</v>
      </c>
      <c r="H10" s="15"/>
      <c r="I10" s="40">
        <v>1360</v>
      </c>
      <c r="J10" s="15" t="s">
        <v>73</v>
      </c>
      <c r="K10" s="40">
        <v>1360</v>
      </c>
      <c r="L10" s="40">
        <f t="shared" si="0"/>
        <v>108.8</v>
      </c>
      <c r="M10" s="40">
        <f t="shared" si="1"/>
        <v>1468.8</v>
      </c>
      <c r="N10" s="40">
        <v>1360</v>
      </c>
      <c r="O10" s="22">
        <v>46125</v>
      </c>
      <c r="P10" s="15" t="s">
        <v>31</v>
      </c>
      <c r="Q10" s="22">
        <v>46155</v>
      </c>
      <c r="R10" s="16" t="str">
        <f t="shared" ca="1" si="2"/>
        <v>Overdue by 106 days</v>
      </c>
      <c r="S10" s="15" t="s">
        <v>49</v>
      </c>
      <c r="T10" s="24" t="s">
        <v>55</v>
      </c>
      <c r="U10" s="23"/>
      <c r="V10" s="15" t="s">
        <v>34</v>
      </c>
      <c r="W10" s="14" t="str">
        <f t="shared" si="3"/>
        <v>FOLLOW UP</v>
      </c>
      <c r="X10" s="15" t="s">
        <v>35</v>
      </c>
      <c r="Y10" s="15" t="s">
        <v>35</v>
      </c>
      <c r="Z10" s="25"/>
    </row>
    <row r="11" spans="1:26" ht="24" x14ac:dyDescent="0.35">
      <c r="A11" s="14">
        <f t="shared" si="4"/>
        <v>10</v>
      </c>
      <c r="B11" s="26" t="s">
        <v>74</v>
      </c>
      <c r="C11" s="15" t="s">
        <v>75</v>
      </c>
      <c r="D11" s="35" t="s">
        <v>76</v>
      </c>
      <c r="E11" s="36">
        <v>46114</v>
      </c>
      <c r="F11" s="36">
        <v>46115</v>
      </c>
      <c r="G11" s="15" t="s">
        <v>77</v>
      </c>
      <c r="H11" s="15"/>
      <c r="I11" s="40">
        <v>19444.439999999999</v>
      </c>
      <c r="J11" s="15" t="s">
        <v>78</v>
      </c>
      <c r="K11" s="40">
        <v>19444.439999999999</v>
      </c>
      <c r="L11" s="40">
        <f t="shared" si="0"/>
        <v>1555.5552</v>
      </c>
      <c r="M11" s="40">
        <f t="shared" si="1"/>
        <v>20999.995199999998</v>
      </c>
      <c r="N11" s="40">
        <v>19444.439999999999</v>
      </c>
      <c r="O11" s="22">
        <v>46135</v>
      </c>
      <c r="P11" s="15" t="s">
        <v>31</v>
      </c>
      <c r="Q11" s="22">
        <v>46165</v>
      </c>
      <c r="R11" s="16" t="str">
        <f t="shared" ca="1" si="2"/>
        <v>Overdue by 96 days</v>
      </c>
      <c r="S11" s="26" t="s">
        <v>32</v>
      </c>
      <c r="T11" s="24" t="s">
        <v>33</v>
      </c>
      <c r="U11" s="23">
        <v>46162</v>
      </c>
      <c r="V11" s="15" t="s">
        <v>50</v>
      </c>
      <c r="W11" s="14" t="str">
        <f t="shared" si="3"/>
        <v>DONE</v>
      </c>
      <c r="X11" s="15" t="s">
        <v>35</v>
      </c>
      <c r="Y11" s="15" t="s">
        <v>35</v>
      </c>
      <c r="Z11" s="25" t="s">
        <v>51</v>
      </c>
    </row>
    <row r="12" spans="1:26" ht="24" x14ac:dyDescent="0.35">
      <c r="A12" s="14">
        <f t="shared" si="4"/>
        <v>11</v>
      </c>
      <c r="B12" s="26" t="s">
        <v>79</v>
      </c>
      <c r="C12" s="15" t="s">
        <v>80</v>
      </c>
      <c r="D12" s="35" t="s">
        <v>46</v>
      </c>
      <c r="E12" s="36">
        <v>46133</v>
      </c>
      <c r="F12" s="36">
        <v>46133</v>
      </c>
      <c r="G12" s="15" t="s">
        <v>81</v>
      </c>
      <c r="H12" s="15"/>
      <c r="I12" s="40">
        <v>2300</v>
      </c>
      <c r="J12" s="15" t="s">
        <v>82</v>
      </c>
      <c r="K12" s="40">
        <v>2300</v>
      </c>
      <c r="L12" s="40">
        <v>0</v>
      </c>
      <c r="M12" s="40">
        <f t="shared" si="1"/>
        <v>2300</v>
      </c>
      <c r="N12" s="40">
        <v>2300</v>
      </c>
      <c r="O12" s="22">
        <v>46141</v>
      </c>
      <c r="P12" s="15" t="s">
        <v>31</v>
      </c>
      <c r="Q12" s="22">
        <v>46171</v>
      </c>
      <c r="R12" s="16" t="str">
        <f t="shared" ca="1" si="2"/>
        <v>Overdue by 90 days</v>
      </c>
      <c r="S12" s="26" t="s">
        <v>49</v>
      </c>
      <c r="T12" s="24" t="s">
        <v>55</v>
      </c>
      <c r="U12" s="23"/>
      <c r="V12" s="15" t="s">
        <v>50</v>
      </c>
      <c r="W12" s="14" t="str">
        <f t="shared" si="3"/>
        <v>FOLLOW UP</v>
      </c>
      <c r="X12" s="15" t="s">
        <v>35</v>
      </c>
      <c r="Y12" s="15" t="s">
        <v>35</v>
      </c>
      <c r="Z12" s="25" t="s">
        <v>51</v>
      </c>
    </row>
    <row r="13" spans="1:26" ht="24" x14ac:dyDescent="0.35">
      <c r="A13" s="14">
        <f t="shared" si="4"/>
        <v>12</v>
      </c>
      <c r="B13" s="26" t="s">
        <v>74</v>
      </c>
      <c r="C13" s="15" t="s">
        <v>75</v>
      </c>
      <c r="D13" s="35" t="s">
        <v>76</v>
      </c>
      <c r="E13" s="36">
        <v>46114</v>
      </c>
      <c r="F13" s="36">
        <v>46115</v>
      </c>
      <c r="G13" s="15" t="s">
        <v>77</v>
      </c>
      <c r="H13" s="15"/>
      <c r="I13" s="40">
        <v>26800</v>
      </c>
      <c r="J13" s="15" t="s">
        <v>83</v>
      </c>
      <c r="K13" s="40">
        <v>26800</v>
      </c>
      <c r="L13" s="40">
        <v>0</v>
      </c>
      <c r="M13" s="40">
        <f t="shared" si="1"/>
        <v>26800</v>
      </c>
      <c r="N13" s="40">
        <v>26800</v>
      </c>
      <c r="O13" s="22">
        <v>46142</v>
      </c>
      <c r="P13" s="15" t="s">
        <v>31</v>
      </c>
      <c r="Q13" s="22">
        <v>46172</v>
      </c>
      <c r="R13" s="16" t="str">
        <f t="shared" ca="1" si="2"/>
        <v>Overdue by 89 days</v>
      </c>
      <c r="S13" s="26" t="s">
        <v>49</v>
      </c>
      <c r="T13" s="24" t="s">
        <v>55</v>
      </c>
      <c r="U13" s="23"/>
      <c r="V13" s="15" t="s">
        <v>50</v>
      </c>
      <c r="W13" s="14" t="str">
        <f t="shared" si="3"/>
        <v>FOLLOW UP</v>
      </c>
      <c r="X13" s="15" t="s">
        <v>35</v>
      </c>
      <c r="Y13" s="15" t="s">
        <v>35</v>
      </c>
      <c r="Z13" s="25" t="s">
        <v>51</v>
      </c>
    </row>
    <row r="14" spans="1:26" x14ac:dyDescent="0.35">
      <c r="A14" s="14">
        <f t="shared" si="4"/>
        <v>13</v>
      </c>
      <c r="B14" s="26" t="s">
        <v>84</v>
      </c>
      <c r="C14" s="15" t="s">
        <v>85</v>
      </c>
      <c r="D14" s="35" t="s">
        <v>86</v>
      </c>
      <c r="E14" s="36">
        <v>46132</v>
      </c>
      <c r="F14" s="36">
        <v>46136</v>
      </c>
      <c r="G14" s="15" t="s">
        <v>87</v>
      </c>
      <c r="H14" s="15"/>
      <c r="I14" s="40">
        <v>8101.85</v>
      </c>
      <c r="J14" s="15" t="s">
        <v>88</v>
      </c>
      <c r="K14" s="40">
        <v>8101.85</v>
      </c>
      <c r="L14" s="40">
        <f t="shared" si="0"/>
        <v>648.14800000000002</v>
      </c>
      <c r="M14" s="40">
        <f t="shared" si="1"/>
        <v>8749.9979999999996</v>
      </c>
      <c r="N14" s="40">
        <v>8101.85</v>
      </c>
      <c r="O14" s="22">
        <v>46157</v>
      </c>
      <c r="P14" s="15" t="s">
        <v>31</v>
      </c>
      <c r="Q14" s="22">
        <v>46187</v>
      </c>
      <c r="R14" s="16" t="str">
        <f t="shared" ca="1" si="2"/>
        <v>Overdue by 74 days</v>
      </c>
      <c r="S14" s="26" t="s">
        <v>32</v>
      </c>
      <c r="T14" s="24" t="s">
        <v>33</v>
      </c>
      <c r="U14" s="23">
        <v>46175</v>
      </c>
      <c r="V14" s="15" t="s">
        <v>34</v>
      </c>
      <c r="W14" s="14" t="str">
        <f t="shared" si="3"/>
        <v>DONE</v>
      </c>
      <c r="X14" s="15" t="s">
        <v>35</v>
      </c>
      <c r="Y14" s="15" t="s">
        <v>35</v>
      </c>
      <c r="Z14" s="25"/>
    </row>
    <row r="15" spans="1:26" x14ac:dyDescent="0.35">
      <c r="A15" s="14">
        <f t="shared" si="4"/>
        <v>14</v>
      </c>
      <c r="B15" s="15" t="s">
        <v>65</v>
      </c>
      <c r="C15" s="15" t="s">
        <v>85</v>
      </c>
      <c r="D15" s="35" t="s">
        <v>86</v>
      </c>
      <c r="E15" s="36">
        <v>46132</v>
      </c>
      <c r="F15" s="36">
        <v>46136</v>
      </c>
      <c r="G15" s="15" t="s">
        <v>89</v>
      </c>
      <c r="H15" s="15"/>
      <c r="I15" s="40">
        <v>14000</v>
      </c>
      <c r="J15" s="15" t="s">
        <v>90</v>
      </c>
      <c r="K15" s="40">
        <v>14000</v>
      </c>
      <c r="L15" s="40">
        <f t="shared" si="0"/>
        <v>1120</v>
      </c>
      <c r="M15" s="40">
        <f t="shared" si="1"/>
        <v>15120</v>
      </c>
      <c r="N15" s="40">
        <v>14000</v>
      </c>
      <c r="O15" s="22">
        <v>46157</v>
      </c>
      <c r="P15" s="15" t="s">
        <v>31</v>
      </c>
      <c r="Q15" s="22">
        <v>46187</v>
      </c>
      <c r="R15" s="16" t="str">
        <f t="shared" ca="1" si="2"/>
        <v>Overdue by 74 days</v>
      </c>
      <c r="S15" s="15" t="s">
        <v>32</v>
      </c>
      <c r="T15" s="24" t="s">
        <v>33</v>
      </c>
      <c r="U15" s="23">
        <v>46178</v>
      </c>
      <c r="V15" s="15" t="s">
        <v>34</v>
      </c>
      <c r="W15" s="14" t="str">
        <f t="shared" si="3"/>
        <v>DONE</v>
      </c>
      <c r="X15" s="15" t="s">
        <v>35</v>
      </c>
      <c r="Y15" s="15" t="s">
        <v>35</v>
      </c>
      <c r="Z15" s="15"/>
    </row>
    <row r="16" spans="1:26" x14ac:dyDescent="0.35">
      <c r="A16" s="14">
        <f t="shared" si="4"/>
        <v>15</v>
      </c>
      <c r="B16" s="15" t="s">
        <v>91</v>
      </c>
      <c r="C16" s="15" t="s">
        <v>92</v>
      </c>
      <c r="D16" s="35" t="s">
        <v>71</v>
      </c>
      <c r="E16" s="36">
        <v>46141</v>
      </c>
      <c r="F16" s="36">
        <v>46141</v>
      </c>
      <c r="G16" s="15" t="s">
        <v>93</v>
      </c>
      <c r="H16" s="15"/>
      <c r="I16" s="40">
        <v>1085</v>
      </c>
      <c r="J16" s="15" t="s">
        <v>94</v>
      </c>
      <c r="K16" s="40">
        <v>1085</v>
      </c>
      <c r="L16" s="40">
        <v>0</v>
      </c>
      <c r="M16" s="40">
        <f t="shared" si="1"/>
        <v>1085</v>
      </c>
      <c r="N16" s="40">
        <v>1085</v>
      </c>
      <c r="O16" s="22">
        <v>46142</v>
      </c>
      <c r="P16" s="15" t="s">
        <v>31</v>
      </c>
      <c r="Q16" s="22">
        <v>46172</v>
      </c>
      <c r="R16" s="16" t="str">
        <f t="shared" ca="1" si="2"/>
        <v>Overdue by 89 days</v>
      </c>
      <c r="S16" s="15" t="s">
        <v>49</v>
      </c>
      <c r="T16" s="24" t="s">
        <v>33</v>
      </c>
      <c r="U16" s="23">
        <v>46140</v>
      </c>
      <c r="V16" s="15" t="s">
        <v>34</v>
      </c>
      <c r="W16" s="14" t="s">
        <v>95</v>
      </c>
      <c r="X16" s="15" t="s">
        <v>35</v>
      </c>
      <c r="Y16" s="15" t="s">
        <v>35</v>
      </c>
      <c r="Z16" s="15"/>
    </row>
    <row r="17" spans="1:26" x14ac:dyDescent="0.35">
      <c r="A17" s="14">
        <f t="shared" si="4"/>
        <v>16</v>
      </c>
      <c r="B17" s="15" t="s">
        <v>96</v>
      </c>
      <c r="C17" s="15" t="s">
        <v>85</v>
      </c>
      <c r="D17" s="35" t="s">
        <v>86</v>
      </c>
      <c r="E17" s="36">
        <v>45992</v>
      </c>
      <c r="F17" s="36">
        <v>45996</v>
      </c>
      <c r="G17" s="15" t="s">
        <v>97</v>
      </c>
      <c r="H17" s="15"/>
      <c r="I17" s="40">
        <v>6944.44</v>
      </c>
      <c r="J17" s="15" t="s">
        <v>98</v>
      </c>
      <c r="K17" s="40">
        <v>6944.44</v>
      </c>
      <c r="L17" s="40">
        <f t="shared" si="0"/>
        <v>555.55520000000001</v>
      </c>
      <c r="M17" s="40">
        <f t="shared" si="1"/>
        <v>7499.9951999999994</v>
      </c>
      <c r="N17" s="40">
        <v>6944.44</v>
      </c>
      <c r="O17" s="22">
        <v>46142</v>
      </c>
      <c r="P17" s="15" t="s">
        <v>31</v>
      </c>
      <c r="Q17" s="22">
        <v>46172</v>
      </c>
      <c r="R17" s="16" t="str">
        <f ca="1">IF(Q17&lt;TODAY(),"Overdue by "&amp;(TODAY()-Q17)&amp;" days")</f>
        <v>Overdue by 89 days</v>
      </c>
      <c r="S17" s="15" t="s">
        <v>32</v>
      </c>
      <c r="T17" s="24" t="s">
        <v>33</v>
      </c>
      <c r="U17" s="23">
        <v>46181</v>
      </c>
      <c r="V17" s="15" t="s">
        <v>34</v>
      </c>
      <c r="W17" s="14" t="str">
        <f t="shared" si="3"/>
        <v>DONE</v>
      </c>
      <c r="X17" s="15" t="s">
        <v>40</v>
      </c>
      <c r="Y17" s="15" t="s">
        <v>35</v>
      </c>
      <c r="Z17" s="15"/>
    </row>
    <row r="18" spans="1:26" x14ac:dyDescent="0.35">
      <c r="A18" s="14">
        <f t="shared" si="4"/>
        <v>17</v>
      </c>
      <c r="B18" s="15" t="s">
        <v>99</v>
      </c>
      <c r="C18" s="15" t="s">
        <v>100</v>
      </c>
      <c r="D18" s="35" t="s">
        <v>28</v>
      </c>
      <c r="E18" s="36">
        <v>46155</v>
      </c>
      <c r="F18" s="36">
        <v>46156</v>
      </c>
      <c r="G18" s="15" t="s">
        <v>101</v>
      </c>
      <c r="H18" s="15"/>
      <c r="I18" s="40">
        <v>19444.439999999999</v>
      </c>
      <c r="J18" s="15" t="s">
        <v>102</v>
      </c>
      <c r="K18" s="40">
        <v>19444.439999999999</v>
      </c>
      <c r="L18" s="40">
        <f t="shared" si="0"/>
        <v>1555.5552</v>
      </c>
      <c r="M18" s="40">
        <f t="shared" si="1"/>
        <v>20999.995199999998</v>
      </c>
      <c r="N18" s="40">
        <v>19444.439999999999</v>
      </c>
      <c r="O18" s="22">
        <v>46163</v>
      </c>
      <c r="P18" s="15" t="s">
        <v>31</v>
      </c>
      <c r="Q18" s="22">
        <v>46193</v>
      </c>
      <c r="R18" s="16" t="str">
        <f t="shared" ca="1" si="2"/>
        <v>Overdue by 68 days</v>
      </c>
      <c r="S18" s="15" t="s">
        <v>32</v>
      </c>
      <c r="T18" s="24" t="s">
        <v>33</v>
      </c>
      <c r="U18" s="23">
        <v>46168</v>
      </c>
      <c r="V18" s="15" t="s">
        <v>34</v>
      </c>
      <c r="W18" s="14" t="str">
        <f t="shared" si="3"/>
        <v>DONE</v>
      </c>
      <c r="X18" s="15" t="s">
        <v>35</v>
      </c>
      <c r="Y18" s="15" t="s">
        <v>35</v>
      </c>
      <c r="Z18" s="15"/>
    </row>
    <row r="19" spans="1:26" x14ac:dyDescent="0.35">
      <c r="A19" s="129">
        <f t="shared" si="4"/>
        <v>18</v>
      </c>
      <c r="B19" s="130" t="s">
        <v>103</v>
      </c>
      <c r="C19" s="130" t="s">
        <v>104</v>
      </c>
      <c r="D19" s="131" t="s">
        <v>86</v>
      </c>
      <c r="E19" s="38">
        <v>46153</v>
      </c>
      <c r="F19" s="38">
        <v>46157</v>
      </c>
      <c r="G19" s="130" t="s">
        <v>105</v>
      </c>
      <c r="H19" s="130"/>
      <c r="I19" s="132">
        <v>46285</v>
      </c>
      <c r="J19" s="130" t="s">
        <v>106</v>
      </c>
      <c r="K19" s="132">
        <v>46285</v>
      </c>
      <c r="L19" s="132">
        <f t="shared" si="0"/>
        <v>3702.8</v>
      </c>
      <c r="M19" s="132">
        <f t="shared" si="1"/>
        <v>49987.8</v>
      </c>
      <c r="N19" s="132">
        <v>46285</v>
      </c>
      <c r="O19" s="133">
        <v>46163</v>
      </c>
      <c r="P19" s="130" t="s">
        <v>31</v>
      </c>
      <c r="Q19" s="133">
        <v>46193</v>
      </c>
      <c r="R19" s="134" t="str">
        <f t="shared" ca="1" si="2"/>
        <v>Overdue by 68 days</v>
      </c>
      <c r="S19" s="130" t="s">
        <v>107</v>
      </c>
      <c r="T19" s="135" t="s">
        <v>33</v>
      </c>
      <c r="U19" s="136"/>
      <c r="V19" s="130" t="s">
        <v>34</v>
      </c>
      <c r="W19" s="129" t="str">
        <f t="shared" si="3"/>
        <v>FOLLOW UP</v>
      </c>
      <c r="X19" s="130" t="s">
        <v>40</v>
      </c>
      <c r="Y19" s="130" t="s">
        <v>40</v>
      </c>
      <c r="Z19" s="130"/>
    </row>
    <row r="20" spans="1:26" x14ac:dyDescent="0.35">
      <c r="A20" s="14">
        <f t="shared" si="4"/>
        <v>19</v>
      </c>
      <c r="B20" s="15" t="s">
        <v>108</v>
      </c>
      <c r="C20" s="15" t="s">
        <v>109</v>
      </c>
      <c r="D20" s="35" t="s">
        <v>62</v>
      </c>
      <c r="E20" s="36">
        <v>46162</v>
      </c>
      <c r="F20" s="36">
        <v>46162</v>
      </c>
      <c r="G20" s="15" t="s">
        <v>110</v>
      </c>
      <c r="H20" s="15"/>
      <c r="I20" s="40">
        <v>1470</v>
      </c>
      <c r="J20" s="15" t="s">
        <v>111</v>
      </c>
      <c r="K20" s="50">
        <v>1470</v>
      </c>
      <c r="L20" s="50">
        <f t="shared" si="0"/>
        <v>117.60000000000001</v>
      </c>
      <c r="M20" s="50">
        <f t="shared" si="1"/>
        <v>1587.6</v>
      </c>
      <c r="N20" s="50">
        <v>1470</v>
      </c>
      <c r="O20" s="22">
        <v>46189</v>
      </c>
      <c r="P20" s="15" t="s">
        <v>31</v>
      </c>
      <c r="Q20" s="22">
        <v>46219</v>
      </c>
      <c r="R20" s="16" t="str">
        <f t="shared" ca="1" si="2"/>
        <v>Overdue by 42 days</v>
      </c>
      <c r="S20" s="15" t="s">
        <v>49</v>
      </c>
      <c r="T20" s="24" t="s">
        <v>55</v>
      </c>
      <c r="U20" s="23"/>
      <c r="V20" s="15" t="s">
        <v>34</v>
      </c>
      <c r="W20" s="14" t="str">
        <f t="shared" si="3"/>
        <v>FOLLOW UP</v>
      </c>
      <c r="X20" s="15" t="s">
        <v>35</v>
      </c>
      <c r="Y20" s="15" t="s">
        <v>35</v>
      </c>
      <c r="Z20" s="15"/>
    </row>
    <row r="21" spans="1:26" x14ac:dyDescent="0.35">
      <c r="A21" s="14">
        <f t="shared" si="4"/>
        <v>20</v>
      </c>
      <c r="B21" s="15" t="s">
        <v>112</v>
      </c>
      <c r="C21" s="15" t="s">
        <v>109</v>
      </c>
      <c r="D21" s="35" t="s">
        <v>62</v>
      </c>
      <c r="E21" s="36">
        <v>46176</v>
      </c>
      <c r="F21" s="36">
        <v>46176</v>
      </c>
      <c r="G21" s="15" t="s">
        <v>113</v>
      </c>
      <c r="H21" s="15"/>
      <c r="I21" s="40">
        <v>1470</v>
      </c>
      <c r="J21" s="54" t="s">
        <v>114</v>
      </c>
      <c r="K21" s="45">
        <v>1470</v>
      </c>
      <c r="L21" s="45">
        <f t="shared" si="0"/>
        <v>117.60000000000001</v>
      </c>
      <c r="M21" s="45">
        <f t="shared" si="1"/>
        <v>1587.6</v>
      </c>
      <c r="N21" s="45">
        <v>1470</v>
      </c>
      <c r="O21" s="48">
        <v>46189</v>
      </c>
      <c r="P21" s="15" t="s">
        <v>31</v>
      </c>
      <c r="Q21" s="22">
        <v>46219</v>
      </c>
      <c r="R21" s="16" t="str">
        <f t="shared" ca="1" si="2"/>
        <v>Overdue by 42 days</v>
      </c>
      <c r="S21" s="15" t="s">
        <v>49</v>
      </c>
      <c r="T21" s="24" t="s">
        <v>55</v>
      </c>
      <c r="U21" s="23"/>
      <c r="V21" s="15" t="s">
        <v>34</v>
      </c>
      <c r="W21" s="14" t="str">
        <f t="shared" si="3"/>
        <v>FOLLOW UP</v>
      </c>
      <c r="X21" s="15" t="s">
        <v>35</v>
      </c>
      <c r="Y21" s="15" t="s">
        <v>35</v>
      </c>
      <c r="Z21" s="15"/>
    </row>
    <row r="22" spans="1:26" x14ac:dyDescent="0.35">
      <c r="A22" s="14">
        <f t="shared" si="4"/>
        <v>21</v>
      </c>
      <c r="B22" s="15" t="s">
        <v>115</v>
      </c>
      <c r="C22" s="15" t="s">
        <v>116</v>
      </c>
      <c r="D22" s="35" t="s">
        <v>28</v>
      </c>
      <c r="E22" s="36">
        <v>46177</v>
      </c>
      <c r="F22" s="36">
        <v>46178</v>
      </c>
      <c r="G22" s="21" t="s">
        <v>117</v>
      </c>
      <c r="H22" s="49"/>
      <c r="I22" s="50">
        <v>19444.439999999999</v>
      </c>
      <c r="J22" s="55" t="s">
        <v>118</v>
      </c>
      <c r="K22" s="45">
        <v>19444.439999999999</v>
      </c>
      <c r="L22" s="45">
        <f t="shared" si="0"/>
        <v>1555.5552</v>
      </c>
      <c r="M22" s="45">
        <f t="shared" si="1"/>
        <v>20999.995199999998</v>
      </c>
      <c r="N22" s="45">
        <v>19444.439999999999</v>
      </c>
      <c r="O22" s="48">
        <v>46203</v>
      </c>
      <c r="P22" s="15" t="s">
        <v>31</v>
      </c>
      <c r="Q22" s="22">
        <v>46233</v>
      </c>
      <c r="R22" s="16" t="str">
        <f t="shared" ca="1" si="2"/>
        <v>Overdue by 28 days</v>
      </c>
      <c r="S22" s="15" t="s">
        <v>32</v>
      </c>
      <c r="T22" s="24" t="s">
        <v>55</v>
      </c>
      <c r="U22" s="23"/>
      <c r="V22" s="15" t="s">
        <v>34</v>
      </c>
      <c r="W22" s="14" t="str">
        <f t="shared" si="3"/>
        <v>FOLLOW UP</v>
      </c>
      <c r="X22" s="15" t="s">
        <v>35</v>
      </c>
      <c r="Y22" s="15" t="s">
        <v>35</v>
      </c>
      <c r="Z22" s="15"/>
    </row>
    <row r="23" spans="1:26" x14ac:dyDescent="0.35">
      <c r="A23" s="14">
        <v>22</v>
      </c>
      <c r="B23" s="15" t="s">
        <v>115</v>
      </c>
      <c r="C23" s="15" t="s">
        <v>116</v>
      </c>
      <c r="D23" s="35" t="s">
        <v>28</v>
      </c>
      <c r="E23" s="36">
        <v>46177</v>
      </c>
      <c r="F23" s="36">
        <v>46178</v>
      </c>
      <c r="G23" s="47" t="s">
        <v>117</v>
      </c>
      <c r="H23" s="44"/>
      <c r="I23" s="45">
        <v>15000</v>
      </c>
      <c r="J23" s="56" t="s">
        <v>119</v>
      </c>
      <c r="K23" s="45">
        <v>15000</v>
      </c>
      <c r="L23" s="45">
        <v>0</v>
      </c>
      <c r="M23" s="45">
        <f t="shared" si="1"/>
        <v>15000</v>
      </c>
      <c r="N23" s="45">
        <f>K23</f>
        <v>15000</v>
      </c>
      <c r="O23" s="48"/>
      <c r="P23" s="15" t="s">
        <v>31</v>
      </c>
      <c r="Q23" s="22"/>
      <c r="R23" s="16" t="str">
        <f t="shared" ca="1" si="2"/>
        <v>Overdue by 46261 days</v>
      </c>
      <c r="S23" s="15" t="s">
        <v>49</v>
      </c>
      <c r="T23" s="24" t="s">
        <v>55</v>
      </c>
      <c r="U23" s="23"/>
      <c r="V23" s="15" t="s">
        <v>34</v>
      </c>
      <c r="W23" s="14" t="str">
        <f t="shared" si="3"/>
        <v/>
      </c>
      <c r="X23" s="15" t="s">
        <v>35</v>
      </c>
      <c r="Y23" s="15" t="s">
        <v>35</v>
      </c>
      <c r="Z23" s="15"/>
    </row>
    <row r="24" spans="1:26" x14ac:dyDescent="0.35">
      <c r="A24" s="14">
        <v>23</v>
      </c>
      <c r="B24" s="15" t="s">
        <v>115</v>
      </c>
      <c r="C24" s="4" t="s">
        <v>120</v>
      </c>
      <c r="D24" s="35" t="s">
        <v>28</v>
      </c>
      <c r="E24" s="43">
        <v>46161</v>
      </c>
      <c r="F24" s="43">
        <v>46163</v>
      </c>
      <c r="G24" s="47" t="s">
        <v>121</v>
      </c>
      <c r="H24" s="44"/>
      <c r="I24" s="45">
        <v>5000</v>
      </c>
      <c r="J24" s="56" t="s">
        <v>122</v>
      </c>
      <c r="K24" s="45">
        <v>5000</v>
      </c>
      <c r="L24" s="45">
        <v>0</v>
      </c>
      <c r="M24" s="45">
        <f t="shared" si="1"/>
        <v>5000</v>
      </c>
      <c r="N24" s="45">
        <f>K24</f>
        <v>5000</v>
      </c>
      <c r="O24" s="48">
        <v>46188</v>
      </c>
      <c r="P24" s="15" t="s">
        <v>31</v>
      </c>
      <c r="Q24" s="22">
        <v>46218</v>
      </c>
      <c r="R24" s="16" t="str">
        <f t="shared" ca="1" si="2"/>
        <v>Overdue by 43 days</v>
      </c>
      <c r="S24" s="15" t="s">
        <v>49</v>
      </c>
      <c r="T24" s="24" t="s">
        <v>55</v>
      </c>
      <c r="U24" s="23"/>
      <c r="V24" s="15" t="s">
        <v>34</v>
      </c>
      <c r="W24" s="14" t="str">
        <f t="shared" si="3"/>
        <v>FOLLOW UP</v>
      </c>
      <c r="X24" s="15" t="s">
        <v>35</v>
      </c>
      <c r="Y24" s="15" t="s">
        <v>35</v>
      </c>
      <c r="Z24" s="15"/>
    </row>
    <row r="25" spans="1:26" x14ac:dyDescent="0.35">
      <c r="A25" s="14">
        <v>24</v>
      </c>
      <c r="B25" s="28" t="s">
        <v>123</v>
      </c>
      <c r="C25" s="29" t="s">
        <v>124</v>
      </c>
      <c r="D25" s="35" t="s">
        <v>46</v>
      </c>
      <c r="E25" s="37">
        <v>46155</v>
      </c>
      <c r="F25" s="37">
        <v>46155</v>
      </c>
      <c r="G25" s="30" t="s">
        <v>125</v>
      </c>
      <c r="H25" s="51"/>
      <c r="I25" s="52">
        <v>1625</v>
      </c>
      <c r="J25" s="57" t="s">
        <v>126</v>
      </c>
      <c r="K25" s="41">
        <v>1625</v>
      </c>
      <c r="L25" s="45">
        <v>0</v>
      </c>
      <c r="M25" s="41">
        <v>1625</v>
      </c>
      <c r="N25" s="53">
        <v>1625</v>
      </c>
      <c r="O25" s="48">
        <v>46142</v>
      </c>
      <c r="P25" s="15" t="s">
        <v>31</v>
      </c>
      <c r="Q25" s="22">
        <v>46172</v>
      </c>
      <c r="R25" s="16" t="str">
        <f t="shared" ca="1" si="2"/>
        <v>Overdue by 89 days</v>
      </c>
      <c r="S25" s="31" t="s">
        <v>49</v>
      </c>
      <c r="T25" s="24" t="s">
        <v>33</v>
      </c>
      <c r="U25" s="22">
        <v>46153</v>
      </c>
      <c r="V25" s="15" t="s">
        <v>34</v>
      </c>
      <c r="W25" s="14" t="str">
        <f t="shared" si="3"/>
        <v>DONE</v>
      </c>
      <c r="X25" s="32" t="s">
        <v>127</v>
      </c>
      <c r="Y25" s="32" t="s">
        <v>127</v>
      </c>
      <c r="Z25" s="15"/>
    </row>
    <row r="26" spans="1:26" x14ac:dyDescent="0.35">
      <c r="A26" s="14">
        <v>25</v>
      </c>
      <c r="B26" s="9" t="s">
        <v>128</v>
      </c>
      <c r="C26" s="33" t="s">
        <v>129</v>
      </c>
      <c r="D26" s="35" t="s">
        <v>71</v>
      </c>
      <c r="E26" s="38">
        <v>45658</v>
      </c>
      <c r="F26" s="38">
        <v>46387</v>
      </c>
      <c r="G26" s="30" t="s">
        <v>130</v>
      </c>
      <c r="H26" s="27"/>
      <c r="I26" s="41">
        <v>16900.37</v>
      </c>
      <c r="J26" s="34" t="s">
        <v>131</v>
      </c>
      <c r="K26" s="41">
        <v>16900.37</v>
      </c>
      <c r="L26" s="45">
        <f t="shared" si="0"/>
        <v>1352.0295999999998</v>
      </c>
      <c r="M26" s="41">
        <v>18252.400000000001</v>
      </c>
      <c r="N26" s="41">
        <v>16900.37</v>
      </c>
      <c r="O26" s="48">
        <v>46135</v>
      </c>
      <c r="P26" s="15" t="s">
        <v>31</v>
      </c>
      <c r="Q26" s="22">
        <v>46165</v>
      </c>
      <c r="R26" s="16" t="str">
        <f t="shared" ca="1" si="2"/>
        <v>Overdue by 96 days</v>
      </c>
      <c r="S26" s="31" t="s">
        <v>49</v>
      </c>
      <c r="T26" s="24" t="s">
        <v>33</v>
      </c>
      <c r="U26" s="22">
        <v>46170</v>
      </c>
      <c r="V26" s="15" t="s">
        <v>34</v>
      </c>
      <c r="W26" s="14" t="str">
        <f t="shared" si="3"/>
        <v>DONE</v>
      </c>
      <c r="X26" s="32" t="s">
        <v>127</v>
      </c>
      <c r="Y26" s="32" t="s">
        <v>127</v>
      </c>
      <c r="Z26" s="15"/>
    </row>
    <row r="27" spans="1:26" x14ac:dyDescent="0.35">
      <c r="A27" s="141">
        <v>26</v>
      </c>
      <c r="B27" s="8" t="s">
        <v>44</v>
      </c>
      <c r="C27" s="12" t="s">
        <v>132</v>
      </c>
      <c r="D27" s="35" t="s">
        <v>62</v>
      </c>
      <c r="E27" s="17">
        <v>45902</v>
      </c>
      <c r="F27" s="17">
        <v>45933</v>
      </c>
      <c r="G27" s="142"/>
      <c r="H27" s="9"/>
      <c r="I27" s="41">
        <v>31111</v>
      </c>
      <c r="J27" s="9" t="s">
        <v>133</v>
      </c>
      <c r="K27" s="41">
        <v>31111.11</v>
      </c>
      <c r="L27" s="42">
        <v>2488.89</v>
      </c>
      <c r="M27" s="41">
        <v>33600</v>
      </c>
      <c r="N27" s="41">
        <v>31111.11</v>
      </c>
      <c r="O27" s="17">
        <v>46050</v>
      </c>
      <c r="P27" s="8" t="s">
        <v>31</v>
      </c>
      <c r="Q27" s="17">
        <v>46080</v>
      </c>
      <c r="R27" s="143" t="str">
        <f ca="1">IF(Q27&lt;TODAY(),"Overdue by "&amp;(TODAY()-Q27)&amp;" days")</f>
        <v>Overdue by 181 days</v>
      </c>
      <c r="S27" s="8" t="s">
        <v>49</v>
      </c>
      <c r="T27" s="144" t="s">
        <v>33</v>
      </c>
      <c r="U27" s="11">
        <v>46093</v>
      </c>
      <c r="V27" s="8" t="s">
        <v>50</v>
      </c>
      <c r="W27" s="13" t="str">
        <f t="shared" si="3"/>
        <v>DONE</v>
      </c>
      <c r="X27" s="8" t="s">
        <v>35</v>
      </c>
      <c r="Y27" s="8" t="s">
        <v>35</v>
      </c>
      <c r="Z27" s="142"/>
    </row>
    <row r="28" spans="1:26" x14ac:dyDescent="0.35">
      <c r="A28" s="13">
        <v>27</v>
      </c>
      <c r="B28" s="8" t="s">
        <v>44</v>
      </c>
      <c r="C28" s="12" t="s">
        <v>134</v>
      </c>
      <c r="D28" s="12" t="s">
        <v>62</v>
      </c>
      <c r="E28" s="17">
        <v>45902</v>
      </c>
      <c r="F28" s="17">
        <v>45933</v>
      </c>
      <c r="G28" s="8" t="s">
        <v>135</v>
      </c>
      <c r="H28" s="9"/>
      <c r="I28" s="41">
        <v>51851.85</v>
      </c>
      <c r="J28" s="9" t="s">
        <v>136</v>
      </c>
      <c r="K28" s="41">
        <v>51851.85</v>
      </c>
      <c r="L28" s="42">
        <v>4148.1499999999996</v>
      </c>
      <c r="M28" s="41">
        <v>56000</v>
      </c>
      <c r="N28" s="42">
        <v>51851.85</v>
      </c>
      <c r="O28" s="17">
        <v>46371</v>
      </c>
      <c r="P28" s="8" t="s">
        <v>31</v>
      </c>
      <c r="Q28" s="17">
        <v>46036</v>
      </c>
      <c r="R28" s="143" t="str">
        <f ca="1">IF(Q28&lt;TODAY(),"Overdue by "&amp;(TODAY()-Q28)&amp;" days")</f>
        <v>Overdue by 225 days</v>
      </c>
      <c r="S28" s="8" t="s">
        <v>49</v>
      </c>
      <c r="T28" s="144" t="s">
        <v>33</v>
      </c>
      <c r="U28" s="11">
        <v>46093</v>
      </c>
      <c r="V28" s="8" t="s">
        <v>50</v>
      </c>
      <c r="W28" s="13" t="str">
        <f t="shared" si="3"/>
        <v>DONE</v>
      </c>
      <c r="X28" s="8" t="s">
        <v>35</v>
      </c>
      <c r="Y28" s="8" t="s">
        <v>35</v>
      </c>
      <c r="Z28" s="8"/>
    </row>
    <row r="29" spans="1:26" x14ac:dyDescent="0.35">
      <c r="A29" s="13">
        <v>28</v>
      </c>
      <c r="B29" s="8" t="s">
        <v>137</v>
      </c>
      <c r="C29" s="12" t="s">
        <v>100</v>
      </c>
      <c r="D29" s="12" t="s">
        <v>28</v>
      </c>
      <c r="E29" s="39">
        <v>46181</v>
      </c>
      <c r="F29" s="39">
        <v>46182</v>
      </c>
      <c r="G29" s="8" t="s">
        <v>135</v>
      </c>
      <c r="H29" s="9"/>
      <c r="I29" s="41">
        <v>21000</v>
      </c>
      <c r="J29" s="9" t="s">
        <v>138</v>
      </c>
      <c r="K29" s="41">
        <v>21000</v>
      </c>
      <c r="L29" s="42">
        <v>1680</v>
      </c>
      <c r="M29" s="41">
        <v>22680</v>
      </c>
      <c r="N29" s="41">
        <v>21000</v>
      </c>
      <c r="O29" s="17">
        <v>46188</v>
      </c>
      <c r="P29" s="8" t="s">
        <v>31</v>
      </c>
      <c r="Q29" s="17">
        <v>46218</v>
      </c>
      <c r="R29" s="143" t="str">
        <f ca="1">IF(Q29&lt;TODAY(),"Overdue by "&amp;(TODAY()-Q29)&amp;" days")</f>
        <v>Overdue by 43 days</v>
      </c>
      <c r="S29" s="8" t="s">
        <v>107</v>
      </c>
      <c r="T29" s="144" t="s">
        <v>33</v>
      </c>
      <c r="U29" s="8"/>
      <c r="V29" s="145" t="s">
        <v>34</v>
      </c>
      <c r="W29" s="13" t="str">
        <f t="shared" si="3"/>
        <v>FOLLOW UP</v>
      </c>
      <c r="X29" s="8" t="s">
        <v>40</v>
      </c>
      <c r="Y29" s="8" t="s">
        <v>40</v>
      </c>
      <c r="Z29" s="8"/>
    </row>
    <row r="30" spans="1:26" x14ac:dyDescent="0.35">
      <c r="A30" s="13">
        <v>29</v>
      </c>
      <c r="B30" s="137" t="s">
        <v>139</v>
      </c>
      <c r="C30" s="137" t="s">
        <v>140</v>
      </c>
      <c r="D30" s="12" t="s">
        <v>28</v>
      </c>
      <c r="E30" s="138">
        <v>46155</v>
      </c>
      <c r="F30" s="138">
        <v>46188</v>
      </c>
      <c r="G30" s="8" t="s">
        <v>141</v>
      </c>
      <c r="H30" s="137" t="s">
        <v>142</v>
      </c>
      <c r="I30" s="41">
        <v>23145.83</v>
      </c>
      <c r="J30" s="9" t="s">
        <v>143</v>
      </c>
      <c r="K30" s="41">
        <v>23145.83</v>
      </c>
      <c r="L30" s="42">
        <v>1851.67</v>
      </c>
      <c r="M30" s="41">
        <v>24997.5</v>
      </c>
      <c r="N30" s="41">
        <v>23145.83</v>
      </c>
      <c r="O30" s="139">
        <v>46139</v>
      </c>
      <c r="P30" s="8" t="s">
        <v>31</v>
      </c>
      <c r="Q30" s="139">
        <v>46169</v>
      </c>
      <c r="R30" s="8"/>
      <c r="S30" s="8" t="s">
        <v>107</v>
      </c>
      <c r="T30" s="8" t="s">
        <v>33</v>
      </c>
      <c r="U30" s="140"/>
      <c r="V30" s="8" t="s">
        <v>34</v>
      </c>
      <c r="W30" s="13" t="str">
        <f t="shared" si="3"/>
        <v>FOLLOW UP</v>
      </c>
      <c r="X30" s="8" t="s">
        <v>40</v>
      </c>
      <c r="Y30" s="8" t="s">
        <v>40</v>
      </c>
      <c r="Z30" s="8"/>
    </row>
    <row r="31" spans="1:26" ht="17.5" x14ac:dyDescent="0.35">
      <c r="A31" s="146">
        <v>30</v>
      </c>
      <c r="B31" s="147" t="s">
        <v>144</v>
      </c>
      <c r="C31" s="147" t="s">
        <v>145</v>
      </c>
      <c r="D31" s="12" t="s">
        <v>28</v>
      </c>
      <c r="E31" s="148">
        <v>46198</v>
      </c>
      <c r="F31" s="148">
        <v>46199</v>
      </c>
      <c r="G31" s="149"/>
      <c r="H31" s="150"/>
      <c r="I31" s="41">
        <v>25925</v>
      </c>
      <c r="J31" s="9" t="s">
        <v>146</v>
      </c>
      <c r="K31" s="41">
        <v>25925</v>
      </c>
      <c r="L31" s="42">
        <v>2074</v>
      </c>
      <c r="M31" s="41">
        <v>27999</v>
      </c>
      <c r="N31" s="41">
        <v>25925</v>
      </c>
      <c r="O31" s="151">
        <v>46199</v>
      </c>
      <c r="P31" s="8" t="s">
        <v>31</v>
      </c>
      <c r="Q31" s="139">
        <v>46229</v>
      </c>
      <c r="R31" s="152"/>
      <c r="S31" s="8" t="s">
        <v>107</v>
      </c>
      <c r="T31" s="152"/>
      <c r="U31" s="153"/>
      <c r="V31" s="145" t="s">
        <v>34</v>
      </c>
      <c r="W31" s="13" t="str">
        <f t="shared" si="3"/>
        <v>FOLLOW UP</v>
      </c>
      <c r="X31" s="8" t="s">
        <v>40</v>
      </c>
      <c r="Y31" s="8" t="s">
        <v>40</v>
      </c>
      <c r="Z31" s="8"/>
    </row>
    <row r="32" spans="1:26" ht="17.5" x14ac:dyDescent="0.35">
      <c r="A32" s="1">
        <v>31</v>
      </c>
      <c r="B32" s="106" t="s">
        <v>147</v>
      </c>
      <c r="C32" s="106" t="s">
        <v>148</v>
      </c>
      <c r="D32" s="84" t="s">
        <v>62</v>
      </c>
      <c r="E32" s="107">
        <v>46181</v>
      </c>
      <c r="F32" s="107">
        <v>46199</v>
      </c>
      <c r="G32" s="8" t="s">
        <v>149</v>
      </c>
      <c r="H32" s="106" t="s">
        <v>150</v>
      </c>
      <c r="I32" s="105">
        <v>445500</v>
      </c>
      <c r="J32" s="10" t="s">
        <v>151</v>
      </c>
      <c r="K32" s="109">
        <v>445500</v>
      </c>
      <c r="L32" s="110">
        <v>35640</v>
      </c>
      <c r="M32" s="105">
        <v>481140</v>
      </c>
      <c r="N32" s="109">
        <v>445500</v>
      </c>
      <c r="O32" s="200">
        <v>46199</v>
      </c>
      <c r="P32" s="142" t="s">
        <v>31</v>
      </c>
      <c r="Q32" s="200">
        <v>46229</v>
      </c>
      <c r="R32" s="86"/>
      <c r="S32" s="8" t="s">
        <v>49</v>
      </c>
      <c r="T32" s="1" t="s">
        <v>33</v>
      </c>
      <c r="U32" s="58">
        <v>46216</v>
      </c>
      <c r="V32" s="145" t="s">
        <v>34</v>
      </c>
      <c r="W32" s="89" t="str">
        <f t="shared" si="3"/>
        <v>DONE</v>
      </c>
      <c r="X32" s="46" t="s">
        <v>152</v>
      </c>
      <c r="Y32" s="46" t="s">
        <v>152</v>
      </c>
      <c r="Z32" s="3"/>
    </row>
    <row r="33" spans="1:26" ht="17.5" x14ac:dyDescent="0.35">
      <c r="A33" s="1">
        <v>32</v>
      </c>
      <c r="B33" s="80" t="s">
        <v>153</v>
      </c>
      <c r="C33" s="80" t="s">
        <v>154</v>
      </c>
      <c r="D33" s="80" t="s">
        <v>28</v>
      </c>
      <c r="E33" s="81">
        <v>46188</v>
      </c>
      <c r="F33" s="81">
        <v>46189</v>
      </c>
      <c r="G33" s="108" t="s">
        <v>155</v>
      </c>
      <c r="H33" s="82"/>
      <c r="I33" s="41">
        <v>22037.040000000001</v>
      </c>
      <c r="J33" s="7" t="s">
        <v>156</v>
      </c>
      <c r="K33" s="41">
        <v>22037.040000000001</v>
      </c>
      <c r="L33" s="110">
        <v>1762.96</v>
      </c>
      <c r="M33" s="85">
        <v>23800</v>
      </c>
      <c r="N33" s="194">
        <v>22037.040000000001</v>
      </c>
      <c r="O33" s="83">
        <v>46210</v>
      </c>
      <c r="P33" s="8" t="s">
        <v>31</v>
      </c>
      <c r="Q33" s="58">
        <v>46240</v>
      </c>
      <c r="R33" s="199"/>
      <c r="S33" s="8" t="s">
        <v>107</v>
      </c>
      <c r="T33" s="86"/>
      <c r="U33" s="87"/>
      <c r="V33" s="145" t="s">
        <v>34</v>
      </c>
      <c r="W33" s="89" t="str">
        <f t="shared" si="3"/>
        <v>FOLLOW UP</v>
      </c>
      <c r="X33" s="90" t="s">
        <v>40</v>
      </c>
      <c r="Y33" s="90" t="s">
        <v>40</v>
      </c>
      <c r="Z33" s="3"/>
    </row>
    <row r="34" spans="1:26" ht="17.5" x14ac:dyDescent="0.35">
      <c r="A34" s="1">
        <v>33</v>
      </c>
      <c r="B34" s="80" t="s">
        <v>157</v>
      </c>
      <c r="C34" s="15" t="s">
        <v>100</v>
      </c>
      <c r="D34" s="80" t="s">
        <v>28</v>
      </c>
      <c r="E34" s="81">
        <v>46182</v>
      </c>
      <c r="F34" s="81">
        <v>46183</v>
      </c>
      <c r="G34" s="88"/>
      <c r="H34" s="2"/>
      <c r="I34" s="41">
        <v>25000</v>
      </c>
      <c r="J34" s="7" t="s">
        <v>48</v>
      </c>
      <c r="K34" s="41">
        <v>25000</v>
      </c>
      <c r="L34" s="110">
        <v>2000</v>
      </c>
      <c r="M34" s="85">
        <v>27000</v>
      </c>
      <c r="N34" s="194">
        <v>25000</v>
      </c>
      <c r="O34" s="83">
        <v>46195</v>
      </c>
      <c r="P34" s="8" t="s">
        <v>31</v>
      </c>
      <c r="Q34" s="58">
        <v>46225</v>
      </c>
      <c r="R34" s="2"/>
      <c r="S34" s="8" t="s">
        <v>49</v>
      </c>
      <c r="T34" s="2" t="s">
        <v>158</v>
      </c>
      <c r="U34" s="2"/>
      <c r="V34" s="145" t="s">
        <v>34</v>
      </c>
      <c r="W34" s="4"/>
      <c r="X34" s="90" t="s">
        <v>56</v>
      </c>
      <c r="Y34" s="90" t="s">
        <v>56</v>
      </c>
      <c r="Z34" s="3"/>
    </row>
    <row r="35" spans="1:26" ht="17.5" x14ac:dyDescent="0.35">
      <c r="A35" s="1">
        <v>34</v>
      </c>
      <c r="B35" s="91" t="s">
        <v>159</v>
      </c>
      <c r="C35" s="92" t="s">
        <v>160</v>
      </c>
      <c r="D35" s="92" t="s">
        <v>161</v>
      </c>
      <c r="E35" s="93">
        <v>46211</v>
      </c>
      <c r="F35" s="93">
        <v>45846</v>
      </c>
      <c r="G35" s="164"/>
      <c r="H35" s="165" t="s">
        <v>162</v>
      </c>
      <c r="I35" s="167">
        <v>29650</v>
      </c>
      <c r="J35" s="169" t="s">
        <v>163</v>
      </c>
      <c r="K35" s="167">
        <v>29650</v>
      </c>
      <c r="L35" s="162"/>
      <c r="M35" s="167">
        <v>29650</v>
      </c>
      <c r="N35" s="195">
        <v>29650</v>
      </c>
      <c r="O35" s="58">
        <v>46218</v>
      </c>
      <c r="P35" s="191" t="s">
        <v>31</v>
      </c>
      <c r="Q35" s="58">
        <v>46248</v>
      </c>
      <c r="R35" s="166"/>
      <c r="S35" s="97"/>
      <c r="T35" s="97"/>
      <c r="U35" s="101"/>
      <c r="V35" s="145" t="s">
        <v>34</v>
      </c>
      <c r="W35" s="162" t="s">
        <v>164</v>
      </c>
      <c r="X35" s="104" t="s">
        <v>165</v>
      </c>
      <c r="Y35" s="104" t="s">
        <v>165</v>
      </c>
      <c r="Z35" s="3"/>
    </row>
    <row r="36" spans="1:26" ht="17.5" x14ac:dyDescent="0.35">
      <c r="A36" s="1">
        <f>A35+1</f>
        <v>35</v>
      </c>
      <c r="B36" s="91" t="s">
        <v>159</v>
      </c>
      <c r="C36" s="92" t="s">
        <v>166</v>
      </c>
      <c r="D36" s="92" t="s">
        <v>161</v>
      </c>
      <c r="E36" s="93">
        <v>46211</v>
      </c>
      <c r="F36" s="93">
        <v>46211</v>
      </c>
      <c r="G36" s="94"/>
      <c r="H36" s="165" t="s">
        <v>167</v>
      </c>
      <c r="I36" s="100">
        <v>10650</v>
      </c>
      <c r="J36" s="169" t="s">
        <v>168</v>
      </c>
      <c r="K36" s="100">
        <v>10650</v>
      </c>
      <c r="L36" s="162"/>
      <c r="M36" s="167">
        <v>10650</v>
      </c>
      <c r="N36" s="196">
        <v>10650</v>
      </c>
      <c r="O36" s="83">
        <v>46218</v>
      </c>
      <c r="P36" s="191" t="s">
        <v>31</v>
      </c>
      <c r="Q36" s="58">
        <v>46248</v>
      </c>
      <c r="R36" s="97"/>
      <c r="S36" s="97"/>
      <c r="T36" s="97"/>
      <c r="U36" s="101"/>
      <c r="V36" s="145" t="s">
        <v>34</v>
      </c>
      <c r="W36" s="162" t="s">
        <v>164</v>
      </c>
      <c r="X36" s="104" t="s">
        <v>165</v>
      </c>
      <c r="Y36" s="104" t="s">
        <v>165</v>
      </c>
      <c r="Z36" s="3"/>
    </row>
    <row r="37" spans="1:26" ht="17.5" x14ac:dyDescent="0.35">
      <c r="A37" s="1">
        <v>36</v>
      </c>
      <c r="B37" s="91" t="s">
        <v>169</v>
      </c>
      <c r="C37" s="92" t="s">
        <v>170</v>
      </c>
      <c r="D37" s="92" t="s">
        <v>86</v>
      </c>
      <c r="E37" s="93">
        <v>46132</v>
      </c>
      <c r="F37" s="93">
        <v>46136</v>
      </c>
      <c r="G37" s="94"/>
      <c r="H37" s="95"/>
      <c r="I37" s="41">
        <v>5500</v>
      </c>
      <c r="J37" s="97"/>
      <c r="K37" s="98"/>
      <c r="L37" s="99"/>
      <c r="M37" s="100">
        <v>5500</v>
      </c>
      <c r="N37" s="196">
        <v>5500</v>
      </c>
      <c r="O37" s="83"/>
      <c r="P37" s="87"/>
      <c r="Q37" s="87"/>
      <c r="R37" s="97" t="s">
        <v>171</v>
      </c>
      <c r="S37" s="8" t="s">
        <v>49</v>
      </c>
      <c r="T37" s="97" t="s">
        <v>33</v>
      </c>
      <c r="U37" s="101"/>
      <c r="V37" s="145" t="s">
        <v>34</v>
      </c>
      <c r="W37" s="103"/>
      <c r="X37" s="104"/>
      <c r="Y37" s="104"/>
      <c r="Z37" s="3"/>
    </row>
    <row r="38" spans="1:26" ht="17.5" x14ac:dyDescent="0.35">
      <c r="A38" s="1">
        <v>36</v>
      </c>
      <c r="B38" s="91" t="s">
        <v>172</v>
      </c>
      <c r="C38" s="92" t="s">
        <v>170</v>
      </c>
      <c r="D38" s="92"/>
      <c r="E38" s="93"/>
      <c r="F38" s="93"/>
      <c r="G38" s="94"/>
      <c r="H38" s="95"/>
      <c r="I38" s="96"/>
      <c r="J38" s="97"/>
      <c r="K38" s="98"/>
      <c r="L38" s="99"/>
      <c r="M38" s="190">
        <v>3000</v>
      </c>
      <c r="N38" s="196">
        <v>3000</v>
      </c>
      <c r="O38" s="83"/>
      <c r="P38" s="87"/>
      <c r="Q38" s="87"/>
      <c r="R38" s="97"/>
      <c r="S38" s="97"/>
      <c r="T38" s="97"/>
      <c r="U38" s="101"/>
      <c r="V38" s="145" t="s">
        <v>34</v>
      </c>
      <c r="W38" s="103"/>
      <c r="X38" s="104"/>
      <c r="Y38" s="104"/>
      <c r="Z38" s="3"/>
    </row>
    <row r="39" spans="1:26" x14ac:dyDescent="0.35">
      <c r="A39" s="170">
        <v>36</v>
      </c>
      <c r="B39" s="91" t="s">
        <v>173</v>
      </c>
      <c r="C39" s="92" t="s">
        <v>174</v>
      </c>
      <c r="D39" s="80" t="s">
        <v>28</v>
      </c>
      <c r="E39" s="93">
        <v>46061</v>
      </c>
      <c r="F39" s="93">
        <v>46062</v>
      </c>
      <c r="G39" s="171" t="s">
        <v>175</v>
      </c>
      <c r="H39" s="168"/>
      <c r="I39" s="172">
        <v>1388.89</v>
      </c>
      <c r="J39" s="173" t="s">
        <v>176</v>
      </c>
      <c r="K39" s="172">
        <v>1388.89</v>
      </c>
      <c r="L39" s="186">
        <v>111.11</v>
      </c>
      <c r="M39" s="85">
        <v>1500</v>
      </c>
      <c r="N39" s="197">
        <v>1388.89</v>
      </c>
      <c r="O39" s="192">
        <v>46078</v>
      </c>
      <c r="P39" s="174" t="s">
        <v>31</v>
      </c>
      <c r="Q39" s="193">
        <v>46108</v>
      </c>
      <c r="R39" s="175"/>
      <c r="S39" s="174" t="s">
        <v>49</v>
      </c>
      <c r="T39" s="176" t="s">
        <v>33</v>
      </c>
      <c r="U39" s="177"/>
      <c r="V39" s="178" t="s">
        <v>34</v>
      </c>
      <c r="W39" s="179" t="str">
        <f>IF(O39="", "", IF(U39&lt;&gt;"", "DONE", "FOLLOW UP"))</f>
        <v>FOLLOW UP</v>
      </c>
      <c r="X39" s="104"/>
      <c r="Y39" s="104"/>
      <c r="Z39" s="180"/>
    </row>
    <row r="40" spans="1:26" x14ac:dyDescent="0.35">
      <c r="A40" s="170">
        <v>36</v>
      </c>
      <c r="B40" s="91" t="s">
        <v>177</v>
      </c>
      <c r="C40" s="92" t="s">
        <v>178</v>
      </c>
      <c r="D40" s="181" t="s">
        <v>62</v>
      </c>
      <c r="E40" s="93">
        <v>46202</v>
      </c>
      <c r="F40" s="93">
        <v>46211</v>
      </c>
      <c r="G40" s="163"/>
      <c r="H40" s="168"/>
      <c r="I40" s="100"/>
      <c r="J40" s="175"/>
      <c r="K40" s="182"/>
      <c r="L40" s="187"/>
      <c r="M40" s="184">
        <v>51673.23</v>
      </c>
      <c r="N40" s="198"/>
      <c r="O40" s="83"/>
      <c r="P40" s="83"/>
      <c r="Q40" s="83"/>
      <c r="R40" s="175"/>
      <c r="S40" s="174" t="s">
        <v>49</v>
      </c>
      <c r="T40" s="175"/>
      <c r="U40" s="177"/>
      <c r="V40" s="178" t="s">
        <v>34</v>
      </c>
      <c r="W40" s="161"/>
      <c r="X40" s="104" t="s">
        <v>35</v>
      </c>
      <c r="Y40" s="104" t="s">
        <v>35</v>
      </c>
      <c r="Z40" s="180"/>
    </row>
    <row r="41" spans="1:26" x14ac:dyDescent="0.35">
      <c r="A41" s="170">
        <v>37</v>
      </c>
      <c r="B41" s="91" t="s">
        <v>179</v>
      </c>
      <c r="C41" s="92" t="s">
        <v>170</v>
      </c>
      <c r="D41" s="92" t="s">
        <v>86</v>
      </c>
      <c r="E41" s="93">
        <v>46132</v>
      </c>
      <c r="F41" s="93">
        <v>46136</v>
      </c>
      <c r="G41" s="171" t="s">
        <v>180</v>
      </c>
      <c r="H41" s="168"/>
      <c r="I41" s="172">
        <v>9259.26</v>
      </c>
      <c r="J41" s="173" t="s">
        <v>181</v>
      </c>
      <c r="K41" s="172">
        <v>9259.26</v>
      </c>
      <c r="L41" s="186">
        <v>740.74</v>
      </c>
      <c r="M41" s="184">
        <v>10000</v>
      </c>
      <c r="N41" s="197">
        <v>9259.26</v>
      </c>
      <c r="O41" s="192">
        <v>46181</v>
      </c>
      <c r="P41" s="174" t="s">
        <v>31</v>
      </c>
      <c r="Q41" s="193">
        <v>46211</v>
      </c>
      <c r="R41" s="175"/>
      <c r="S41" s="174" t="s">
        <v>49</v>
      </c>
      <c r="T41" s="175"/>
      <c r="U41" s="177"/>
      <c r="V41" s="178" t="s">
        <v>34</v>
      </c>
      <c r="W41" s="161"/>
      <c r="X41" s="104"/>
      <c r="Y41" s="104"/>
      <c r="Z41" s="180"/>
    </row>
    <row r="42" spans="1:26" x14ac:dyDescent="0.35">
      <c r="A42" s="170">
        <v>38</v>
      </c>
      <c r="B42" s="91" t="s">
        <v>26</v>
      </c>
      <c r="C42" s="92" t="s">
        <v>182</v>
      </c>
      <c r="D42" s="92" t="s">
        <v>76</v>
      </c>
      <c r="E42" s="93">
        <v>46196</v>
      </c>
      <c r="F42" s="93">
        <v>46197</v>
      </c>
      <c r="G42" s="163" t="s">
        <v>183</v>
      </c>
      <c r="H42" s="168"/>
      <c r="I42" s="100">
        <v>19444.439999999999</v>
      </c>
      <c r="J42" s="175" t="s">
        <v>184</v>
      </c>
      <c r="K42" s="100">
        <v>19444.439999999999</v>
      </c>
      <c r="L42" s="188">
        <v>1555.56</v>
      </c>
      <c r="M42" s="184">
        <v>21000</v>
      </c>
      <c r="N42" s="198">
        <v>19444.439999999999</v>
      </c>
      <c r="O42" s="83">
        <v>46218</v>
      </c>
      <c r="P42" s="83" t="s">
        <v>31</v>
      </c>
      <c r="Q42" s="83" t="s">
        <v>185</v>
      </c>
      <c r="R42" s="175"/>
      <c r="S42" s="175" t="s">
        <v>32</v>
      </c>
      <c r="T42" s="175" t="s">
        <v>55</v>
      </c>
      <c r="U42" s="177"/>
      <c r="V42" s="183" t="s">
        <v>34</v>
      </c>
      <c r="W42" s="161"/>
      <c r="X42" s="104" t="s">
        <v>165</v>
      </c>
      <c r="Y42" s="104" t="s">
        <v>165</v>
      </c>
      <c r="Z42" s="180"/>
    </row>
    <row r="43" spans="1:26" ht="17.5" x14ac:dyDescent="0.35">
      <c r="A43" s="1">
        <v>39</v>
      </c>
      <c r="B43" s="91" t="s">
        <v>186</v>
      </c>
      <c r="C43" s="92" t="s">
        <v>187</v>
      </c>
      <c r="D43" s="92" t="s">
        <v>86</v>
      </c>
      <c r="E43" s="93">
        <v>46230</v>
      </c>
      <c r="F43" s="93">
        <v>46234</v>
      </c>
      <c r="G43" s="221" t="s">
        <v>188</v>
      </c>
      <c r="H43" s="95"/>
      <c r="I43" s="96"/>
      <c r="J43" s="97"/>
      <c r="K43" s="98"/>
      <c r="L43" s="189"/>
      <c r="M43" s="185"/>
      <c r="N43" s="198"/>
      <c r="O43" s="83"/>
      <c r="P43" s="87"/>
      <c r="Q43" s="87"/>
      <c r="R43" s="97"/>
      <c r="S43" s="97"/>
      <c r="T43" s="97"/>
      <c r="U43" s="101"/>
      <c r="V43" s="102"/>
      <c r="W43" s="103"/>
      <c r="X43" s="104"/>
      <c r="Y43" s="104"/>
      <c r="Z43" s="3"/>
    </row>
    <row r="44" spans="1:26" ht="17.5" x14ac:dyDescent="0.35">
      <c r="A44" s="1">
        <v>40</v>
      </c>
      <c r="B44" s="91" t="s">
        <v>189</v>
      </c>
      <c r="C44" s="92" t="s">
        <v>190</v>
      </c>
      <c r="D44" s="92" t="s">
        <v>28</v>
      </c>
      <c r="E44" s="93"/>
      <c r="F44" s="93"/>
      <c r="G44" s="94"/>
      <c r="H44" s="95"/>
      <c r="I44" s="96"/>
      <c r="J44" s="97"/>
      <c r="K44" s="98"/>
      <c r="L44" s="189"/>
      <c r="M44" s="185"/>
      <c r="N44" s="198"/>
      <c r="O44" s="83"/>
      <c r="P44" s="87"/>
      <c r="Q44" s="87"/>
      <c r="R44" s="97"/>
      <c r="S44" s="97"/>
      <c r="T44" s="97"/>
      <c r="U44" s="101"/>
      <c r="V44" s="102"/>
      <c r="W44" s="103"/>
      <c r="X44" s="104"/>
      <c r="Y44" s="104"/>
      <c r="Z44" s="3"/>
    </row>
    <row r="45" spans="1:26" ht="17.5" x14ac:dyDescent="0.35">
      <c r="A45" s="1">
        <v>41</v>
      </c>
      <c r="B45" s="91"/>
      <c r="C45" s="92"/>
      <c r="D45" s="92"/>
      <c r="E45" s="93"/>
      <c r="F45" s="93"/>
      <c r="G45" s="94"/>
      <c r="H45" s="95"/>
      <c r="I45" s="96"/>
      <c r="J45" s="97"/>
      <c r="K45" s="98"/>
      <c r="L45" s="189"/>
      <c r="M45" s="185"/>
      <c r="N45" s="198"/>
      <c r="O45" s="83"/>
      <c r="P45" s="87"/>
      <c r="Q45" s="87"/>
      <c r="R45" s="97"/>
      <c r="S45" s="97"/>
      <c r="T45" s="97"/>
      <c r="U45" s="101"/>
      <c r="V45" s="102"/>
      <c r="W45" s="103"/>
      <c r="X45" s="104"/>
      <c r="Y45" s="104"/>
      <c r="Z45" s="3"/>
    </row>
    <row r="46" spans="1:26" ht="17.5" x14ac:dyDescent="0.35">
      <c r="A46" s="1">
        <v>43</v>
      </c>
      <c r="B46" s="91"/>
      <c r="C46" s="92"/>
      <c r="D46" s="92"/>
      <c r="E46" s="93"/>
      <c r="F46" s="93"/>
      <c r="G46" s="94"/>
      <c r="H46" s="95"/>
      <c r="I46" s="96"/>
      <c r="J46" s="97"/>
      <c r="K46" s="98"/>
      <c r="L46" s="189"/>
      <c r="M46" s="218"/>
      <c r="N46" s="198"/>
      <c r="O46" s="219"/>
      <c r="P46" s="220"/>
      <c r="Q46" s="220"/>
      <c r="R46" s="97"/>
      <c r="S46" s="97"/>
      <c r="T46" s="97"/>
      <c r="U46" s="101"/>
      <c r="V46" s="102"/>
      <c r="W46" s="103"/>
      <c r="X46" s="104"/>
      <c r="Y46" s="104"/>
      <c r="Z46" s="3"/>
    </row>
    <row r="47" spans="1:26" ht="17.5" x14ac:dyDescent="0.35">
      <c r="A47" s="1"/>
      <c r="B47" s="91"/>
      <c r="C47" s="92"/>
      <c r="D47" s="92"/>
      <c r="E47" s="93"/>
      <c r="F47" s="93"/>
      <c r="G47" s="94"/>
      <c r="H47" s="95"/>
      <c r="I47" s="96"/>
      <c r="J47" s="97"/>
      <c r="K47" s="98"/>
      <c r="L47" s="189"/>
      <c r="M47" s="218"/>
      <c r="N47" s="198"/>
      <c r="O47" s="219"/>
      <c r="P47" s="220"/>
      <c r="Q47" s="220"/>
      <c r="R47" s="97"/>
      <c r="S47" s="97"/>
      <c r="T47" s="97"/>
      <c r="U47" s="101"/>
      <c r="V47" s="102"/>
      <c r="W47" s="103"/>
      <c r="X47" s="104"/>
      <c r="Y47" s="104"/>
      <c r="Z47" s="3"/>
    </row>
    <row r="48" spans="1:26" ht="17.5" x14ac:dyDescent="0.35">
      <c r="A48" s="1"/>
      <c r="B48" s="69" t="s">
        <v>191</v>
      </c>
      <c r="C48" s="70"/>
      <c r="D48" s="71"/>
      <c r="E48" s="70"/>
      <c r="F48" s="70"/>
      <c r="G48" s="70"/>
      <c r="H48" s="72"/>
      <c r="I48" s="78">
        <f>SUM(I2:I34)</f>
        <v>913291.07000000007</v>
      </c>
      <c r="J48" s="71"/>
      <c r="K48" s="78">
        <f>SUM(K2:K45)</f>
        <v>983683.77</v>
      </c>
      <c r="L48" s="78">
        <f>SUM(L2:L34)</f>
        <v>68758.498000000007</v>
      </c>
      <c r="M48" s="79">
        <f>SUM(M2:M45)</f>
        <v>1115022.9084000001</v>
      </c>
      <c r="N48" s="78">
        <f>SUM(N2:N39)</f>
        <v>963480.07000000007</v>
      </c>
      <c r="O48" s="71"/>
      <c r="P48" s="71"/>
      <c r="Q48" s="71"/>
      <c r="R48" s="73"/>
      <c r="S48" s="73"/>
      <c r="T48" s="73"/>
      <c r="U48" s="74"/>
      <c r="V48" s="75"/>
      <c r="W48" s="76"/>
      <c r="X48" s="77"/>
      <c r="Y48" s="77"/>
      <c r="Z48" s="6"/>
    </row>
    <row r="49" spans="1:26" ht="17.5" x14ac:dyDescent="0.35">
      <c r="A49" s="1"/>
      <c r="B49" s="59"/>
      <c r="C49" s="59"/>
      <c r="D49" s="59"/>
      <c r="E49" s="61"/>
      <c r="F49" s="61"/>
      <c r="G49" s="62"/>
      <c r="H49" s="59"/>
      <c r="I49" s="63"/>
      <c r="J49" s="64"/>
      <c r="K49" s="65"/>
      <c r="L49" s="64"/>
      <c r="M49" s="64"/>
      <c r="N49" s="64"/>
      <c r="O49" s="66"/>
      <c r="P49" s="66"/>
      <c r="Q49" s="66"/>
      <c r="R49" s="64"/>
      <c r="S49" s="64"/>
      <c r="T49" s="64"/>
      <c r="U49" s="66"/>
      <c r="V49" s="67"/>
      <c r="W49" s="68"/>
      <c r="X49" s="60"/>
      <c r="Y49" s="60"/>
      <c r="Z49" s="6"/>
    </row>
    <row r="50" spans="1:26" ht="17.5" x14ac:dyDescent="0.35">
      <c r="A50" s="1"/>
      <c r="B50" s="59"/>
      <c r="C50" s="59"/>
      <c r="D50" s="59"/>
      <c r="E50" s="61"/>
      <c r="F50" s="61"/>
      <c r="G50" s="62"/>
      <c r="H50" s="59"/>
      <c r="I50" s="63"/>
      <c r="J50" s="64"/>
      <c r="K50" s="65"/>
      <c r="L50" s="64"/>
      <c r="M50" s="64"/>
      <c r="N50" s="64"/>
      <c r="O50" s="66"/>
      <c r="P50" s="66"/>
      <c r="Q50" s="66"/>
      <c r="R50" s="64"/>
      <c r="S50" s="64"/>
      <c r="T50" s="64"/>
      <c r="U50" s="66"/>
      <c r="V50" s="67"/>
      <c r="W50" s="68"/>
      <c r="X50" s="60"/>
      <c r="Y50" s="60"/>
      <c r="Z50" s="6"/>
    </row>
  </sheetData>
  <conditionalFormatting sqref="T2:T26">
    <cfRule type="cellIs" dxfId="28" priority="28" operator="equal">
      <formula>"UNPAID"</formula>
    </cfRule>
    <cfRule type="cellIs" dxfId="27" priority="29" operator="equal">
      <formula>"PAID"</formula>
    </cfRule>
  </conditionalFormatting>
  <conditionalFormatting sqref="W2:W32">
    <cfRule type="cellIs" dxfId="26" priority="27" operator="equal">
      <formula>"WAITING"</formula>
    </cfRule>
  </conditionalFormatting>
  <conditionalFormatting sqref="W25:Y26 W2:W24 W27:W32">
    <cfRule type="cellIs" dxfId="25" priority="17" operator="equal">
      <formula>"REMINDER"</formula>
    </cfRule>
    <cfRule type="cellIs" dxfId="24" priority="18" operator="equal">
      <formula>"FINAL NOTICE"</formula>
    </cfRule>
    <cfRule type="cellIs" dxfId="23" priority="19" operator="equal">
      <formula>"FOLLOW UP"</formula>
    </cfRule>
    <cfRule type="cellIs" dxfId="22" priority="20" operator="equal">
      <formula>"WAITING"</formula>
    </cfRule>
    <cfRule type="cellIs" dxfId="21" priority="21" operator="equal">
      <formula>"DONE"</formula>
    </cfRule>
    <cfRule type="cellIs" dxfId="20" priority="22" operator="equal">
      <formula>"UNPAID"</formula>
    </cfRule>
    <cfRule type="cellIs" dxfId="19" priority="23" operator="equal">
      <formula>"PAID"</formula>
    </cfRule>
  </conditionalFormatting>
  <conditionalFormatting sqref="X25:Y26">
    <cfRule type="cellIs" dxfId="18" priority="24" operator="equal">
      <formula>"60 days"</formula>
    </cfRule>
    <cfRule type="cellIs" dxfId="17" priority="25" operator="equal">
      <formula>"30 days"</formula>
    </cfRule>
    <cfRule type="cellIs" dxfId="16" priority="26" operator="equal">
      <formula>"30 days"</formula>
    </cfRule>
  </conditionalFormatting>
  <conditionalFormatting sqref="W33">
    <cfRule type="cellIs" dxfId="15" priority="16" operator="equal">
      <formula>"WAITING"</formula>
    </cfRule>
  </conditionalFormatting>
  <conditionalFormatting sqref="W33">
    <cfRule type="cellIs" dxfId="14" priority="9" operator="equal">
      <formula>"REMINDER"</formula>
    </cfRule>
    <cfRule type="cellIs" dxfId="13" priority="10" operator="equal">
      <formula>"FINAL NOTICE"</formula>
    </cfRule>
    <cfRule type="cellIs" dxfId="12" priority="11" operator="equal">
      <formula>"FOLLOW UP"</formula>
    </cfRule>
    <cfRule type="cellIs" dxfId="11" priority="12" operator="equal">
      <formula>"WAITING"</formula>
    </cfRule>
    <cfRule type="cellIs" dxfId="10" priority="13" operator="equal">
      <formula>"DONE"</formula>
    </cfRule>
    <cfRule type="cellIs" dxfId="9" priority="14" operator="equal">
      <formula>"UNPAID"</formula>
    </cfRule>
    <cfRule type="cellIs" dxfId="8" priority="15" operator="equal">
      <formula>"PAID"</formula>
    </cfRule>
  </conditionalFormatting>
  <conditionalFormatting sqref="W39">
    <cfRule type="cellIs" dxfId="7" priority="8" operator="equal">
      <formula>"WAITING"</formula>
    </cfRule>
  </conditionalFormatting>
  <conditionalFormatting sqref="W39">
    <cfRule type="cellIs" dxfId="6" priority="1" operator="equal">
      <formula>"REMINDER"</formula>
    </cfRule>
    <cfRule type="cellIs" dxfId="5" priority="2" operator="equal">
      <formula>"FINAL NOTICE"</formula>
    </cfRule>
    <cfRule type="cellIs" dxfId="4" priority="3" operator="equal">
      <formula>"FOLLOW UP"</formula>
    </cfRule>
    <cfRule type="cellIs" dxfId="3" priority="4" operator="equal">
      <formula>"WAITING"</formula>
    </cfRule>
    <cfRule type="cellIs" dxfId="2" priority="5" operator="equal">
      <formula>"DONE"</formula>
    </cfRule>
    <cfRule type="cellIs" dxfId="1" priority="6" operator="equal">
      <formula>"UNPAID"</formula>
    </cfRule>
    <cfRule type="cellIs" dxfId="0" priority="7" operator="equal">
      <formula>"PAID"</formula>
    </cfRule>
  </conditionalFormatting>
  <dataValidations count="5">
    <dataValidation type="list" allowBlank="1" showInputMessage="1" showErrorMessage="1" sqref="V1:V47 V49:V50" xr:uid="{CD13ADEA-AA74-4898-862E-30ADC6A04778}">
      <formula1>"MSSB,MIMOS"</formula1>
    </dataValidation>
    <dataValidation type="list" allowBlank="1" showInputMessage="1" showErrorMessage="1" sqref="S49:S50 S35:S36 S42:S47 S38 S1:S26" xr:uid="{FD957E41-3D0E-477E-8E02-02C48CE78313}">
      <formula1>"HRDCorp Claimable,Self-Pay,ePerolehan"</formula1>
    </dataValidation>
    <dataValidation type="list" allowBlank="1" showInputMessage="1" showErrorMessage="1" sqref="T49:T50 T30:T33 T35:T38 T40:T47 T1:T26" xr:uid="{05ECF455-1654-4FCB-B550-BEB65A62560D}">
      <formula1>"UNPAID,PAID"</formula1>
    </dataValidation>
    <dataValidation type="list" allowBlank="1" showInputMessage="1" showErrorMessage="1" sqref="D1:D27 D49:D50 D32:D47" xr:uid="{E9CD0467-ED57-4F3B-8B67-315C1017DA33}">
      <formula1>"Training-AI, Training-Semiconductor, Training-TTT, Training-GTM, Training-Project Mgmt, Training- R&amp;D, Rental-Space,Others"</formula1>
    </dataValidation>
    <dataValidation allowBlank="1" showInputMessage="1" showErrorMessage="1" sqref="X29:Y32 X2:Y26" xr:uid="{659D69C4-A832-4C10-9B54-7CC4FEA76CA8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F17D-3E00-4651-A7FB-0D8CFEE73146}">
  <dimension ref="A1:P38"/>
  <sheetViews>
    <sheetView zoomScale="70" zoomScaleNormal="70" workbookViewId="0">
      <selection activeCell="E12" sqref="E12"/>
    </sheetView>
  </sheetViews>
  <sheetFormatPr defaultRowHeight="15.5" x14ac:dyDescent="0.35"/>
  <cols>
    <col min="1" max="1" width="5.6640625" bestFit="1" customWidth="1"/>
    <col min="2" max="2" width="37.75" bestFit="1" customWidth="1"/>
    <col min="3" max="3" width="9.25" bestFit="1" customWidth="1"/>
    <col min="4" max="4" width="12.83203125" bestFit="1" customWidth="1"/>
    <col min="5" max="5" width="10.1640625" bestFit="1" customWidth="1"/>
    <col min="6" max="6" width="11.4140625" bestFit="1" customWidth="1"/>
    <col min="7" max="7" width="14.83203125" bestFit="1" customWidth="1"/>
    <col min="8" max="8" width="12.9140625" bestFit="1" customWidth="1"/>
    <col min="9" max="9" width="17.5" bestFit="1" customWidth="1"/>
    <col min="10" max="10" width="10" bestFit="1" customWidth="1"/>
    <col min="11" max="11" width="11.5" bestFit="1" customWidth="1"/>
    <col min="12" max="12" width="7.83203125" bestFit="1" customWidth="1"/>
    <col min="13" max="13" width="7.25" bestFit="1" customWidth="1"/>
    <col min="14" max="14" width="7.5" bestFit="1" customWidth="1"/>
    <col min="15" max="15" width="7.25" bestFit="1" customWidth="1"/>
    <col min="16" max="16" width="13.83203125" bestFit="1" customWidth="1"/>
  </cols>
  <sheetData>
    <row r="1" spans="1:16" x14ac:dyDescent="0.35">
      <c r="A1" s="276" t="s">
        <v>0</v>
      </c>
      <c r="B1" s="275" t="s">
        <v>1</v>
      </c>
      <c r="C1" s="271" t="s">
        <v>9</v>
      </c>
      <c r="D1" s="5" t="s">
        <v>193</v>
      </c>
      <c r="E1" s="279" t="s">
        <v>14</v>
      </c>
      <c r="F1" s="280" t="s">
        <v>20</v>
      </c>
      <c r="G1" s="282" t="s">
        <v>194</v>
      </c>
      <c r="H1" s="271" t="s">
        <v>195</v>
      </c>
      <c r="I1" s="273" t="s">
        <v>196</v>
      </c>
      <c r="J1" s="271" t="s">
        <v>197</v>
      </c>
      <c r="K1" s="271" t="s">
        <v>198</v>
      </c>
      <c r="L1" s="275" t="s">
        <v>192</v>
      </c>
      <c r="M1" s="275" t="s">
        <v>199</v>
      </c>
      <c r="N1" s="265" t="s">
        <v>3</v>
      </c>
      <c r="O1" s="267" t="s">
        <v>21</v>
      </c>
      <c r="P1" s="269" t="s">
        <v>25</v>
      </c>
    </row>
    <row r="2" spans="1:16" x14ac:dyDescent="0.35">
      <c r="A2" s="277"/>
      <c r="B2" s="278"/>
      <c r="C2" s="272"/>
      <c r="D2" s="5" t="s">
        <v>200</v>
      </c>
      <c r="E2" s="279"/>
      <c r="F2" s="281"/>
      <c r="G2" s="279"/>
      <c r="H2" s="272"/>
      <c r="I2" s="274"/>
      <c r="J2" s="272"/>
      <c r="K2" s="272"/>
      <c r="L2" s="275"/>
      <c r="M2" s="275"/>
      <c r="N2" s="266"/>
      <c r="O2" s="268"/>
      <c r="P2" s="270"/>
    </row>
    <row r="3" spans="1:16" x14ac:dyDescent="0.35">
      <c r="A3" s="222">
        <v>1</v>
      </c>
      <c r="B3" s="223" t="s">
        <v>26</v>
      </c>
      <c r="C3" s="112" t="e">
        <f>#REF!</f>
        <v>#REF!</v>
      </c>
      <c r="D3" s="113" t="e">
        <f ca="1">_xlfn.XLOOKUP(C3,#REF!,#REF!,"")</f>
        <v>#NAME?</v>
      </c>
      <c r="E3" s="224" t="e">
        <f ca="1">_xlfn.XLOOKUP(C3,#REF!,#REF!,"")</f>
        <v>#NAME?</v>
      </c>
      <c r="F3" s="225" t="e">
        <f ca="1">IF(
   _xlfn.XLOOKUP(C3,#REF!,#REF!,"Not Found")="",
   "No Data",
   _xlfn.XLOOKUP(C3,#REF!,#REF!,"Not Found")
)</f>
        <v>#NAME?</v>
      </c>
      <c r="G3" s="114" t="e">
        <f ca="1">_xlfn.XLOOKUP(C3,#REF!,#REF!,"")</f>
        <v>#NAME?</v>
      </c>
      <c r="H3" s="226">
        <v>4433</v>
      </c>
      <c r="I3" s="226"/>
      <c r="J3" s="227"/>
      <c r="K3" s="227"/>
      <c r="L3" s="228"/>
      <c r="M3" s="229"/>
      <c r="N3" s="230"/>
      <c r="O3" s="231" t="e">
        <f ca="1">_xlfn.XLOOKUP(C3,#REF!,#REF!,"")</f>
        <v>#NAME?</v>
      </c>
      <c r="P3" s="231"/>
    </row>
    <row r="4" spans="1:16" x14ac:dyDescent="0.35">
      <c r="A4" s="222">
        <f>A3+1</f>
        <v>2</v>
      </c>
      <c r="B4" s="223" t="s">
        <v>36</v>
      </c>
      <c r="C4" s="112" t="e">
        <f>#REF!</f>
        <v>#REF!</v>
      </c>
      <c r="D4" s="113" t="e">
        <f ca="1">_xlfn.XLOOKUP(C4,#REF!,#REF!,"")</f>
        <v>#NAME?</v>
      </c>
      <c r="E4" s="224" t="e">
        <f ca="1">_xlfn.XLOOKUP(C4,#REF!,#REF!,"")</f>
        <v>#NAME?</v>
      </c>
      <c r="F4" s="225" t="e">
        <f ca="1">IF(
   _xlfn.XLOOKUP(C4,#REF!,#REF!,"Not Found")="",
   "No Data",
   _xlfn.XLOOKUP(C4,#REF!,#REF!,"Not Found")
)</f>
        <v>#NAME?</v>
      </c>
      <c r="G4" s="114" t="e">
        <f ca="1">_xlfn.XLOOKUP(C4,#REF!,#REF!,"")</f>
        <v>#NAME?</v>
      </c>
      <c r="H4" s="226">
        <v>200</v>
      </c>
      <c r="I4" s="232"/>
      <c r="J4" s="233"/>
      <c r="K4" s="233"/>
      <c r="L4" s="228"/>
      <c r="M4" s="229"/>
      <c r="N4" s="230"/>
      <c r="O4" s="231" t="e">
        <f ca="1">_xlfn.XLOOKUP(C4,#REF!,#REF!,"")</f>
        <v>#NAME?</v>
      </c>
      <c r="P4" s="231"/>
    </row>
    <row r="5" spans="1:16" x14ac:dyDescent="0.35">
      <c r="A5" s="222">
        <f t="shared" ref="A5:A26" si="0">A4+1</f>
        <v>3</v>
      </c>
      <c r="B5" s="223" t="s">
        <v>41</v>
      </c>
      <c r="C5" s="112" t="e">
        <f>#REF!</f>
        <v>#REF!</v>
      </c>
      <c r="D5" s="113" t="e">
        <f ca="1">_xlfn.XLOOKUP(C5,#REF!,#REF!,"")</f>
        <v>#NAME?</v>
      </c>
      <c r="E5" s="224" t="e">
        <f ca="1">_xlfn.XLOOKUP(C5,#REF!,#REF!,"")</f>
        <v>#NAME?</v>
      </c>
      <c r="F5" s="225" t="e">
        <f ca="1">IF(
   _xlfn.XLOOKUP(C5,#REF!,#REF!,"Not Found")="",
   "No Data",
   _xlfn.XLOOKUP(C5,#REF!,#REF!,"Not Found")
)</f>
        <v>#NAME?</v>
      </c>
      <c r="G5" s="114" t="e">
        <f ca="1">_xlfn.XLOOKUP(C5,#REF!,#REF!,"")</f>
        <v>#NAME?</v>
      </c>
      <c r="H5" s="226">
        <v>300</v>
      </c>
      <c r="I5" s="232"/>
      <c r="J5" s="233"/>
      <c r="K5" s="233"/>
      <c r="L5" s="228"/>
      <c r="M5" s="229"/>
      <c r="N5" s="230"/>
      <c r="O5" s="231" t="e">
        <f ca="1">_xlfn.XLOOKUP(C5,#REF!,#REF!,"")</f>
        <v>#NAME?</v>
      </c>
      <c r="P5" s="231"/>
    </row>
    <row r="6" spans="1:16" x14ac:dyDescent="0.35">
      <c r="A6" s="222">
        <f t="shared" si="0"/>
        <v>4</v>
      </c>
      <c r="B6" s="223" t="s">
        <v>201</v>
      </c>
      <c r="C6" s="112" t="e">
        <f>#REF!</f>
        <v>#REF!</v>
      </c>
      <c r="D6" s="113" t="e">
        <f ca="1">_xlfn.XLOOKUP(C6,#REF!,#REF!,"")</f>
        <v>#NAME?</v>
      </c>
      <c r="E6" s="224" t="e">
        <f ca="1">_xlfn.XLOOKUP(C6,#REF!,#REF!,"")</f>
        <v>#NAME?</v>
      </c>
      <c r="F6" s="225" t="e">
        <f ca="1">IF(
   _xlfn.XLOOKUP(C6,#REF!,#REF!,"Not Found")="",
   "No Data",
   _xlfn.XLOOKUP(C6,#REF!,#REF!,"Not Found")
)</f>
        <v>#NAME?</v>
      </c>
      <c r="G6" s="114" t="e">
        <f ca="1">_xlfn.XLOOKUP(C6,#REF!,#REF!,"")</f>
        <v>#NAME?</v>
      </c>
      <c r="H6" s="226">
        <v>2000</v>
      </c>
      <c r="I6" s="232"/>
      <c r="J6" s="233"/>
      <c r="K6" s="233"/>
      <c r="L6" s="228"/>
      <c r="M6" s="229"/>
      <c r="N6" s="230"/>
      <c r="O6" s="231" t="e">
        <f ca="1">_xlfn.XLOOKUP(C6,#REF!,#REF!,"")</f>
        <v>#NAME?</v>
      </c>
      <c r="P6" s="231" t="s">
        <v>202</v>
      </c>
    </row>
    <row r="7" spans="1:16" x14ac:dyDescent="0.35">
      <c r="A7" s="222">
        <f t="shared" si="0"/>
        <v>5</v>
      </c>
      <c r="B7" s="223" t="s">
        <v>52</v>
      </c>
      <c r="C7" s="112" t="e">
        <f>#REF!</f>
        <v>#REF!</v>
      </c>
      <c r="D7" s="113" t="e">
        <f ca="1">_xlfn.XLOOKUP(C7,#REF!,#REF!,"")</f>
        <v>#NAME?</v>
      </c>
      <c r="E7" s="224" t="e">
        <f ca="1">_xlfn.XLOOKUP(C7,#REF!,#REF!,"")</f>
        <v>#NAME?</v>
      </c>
      <c r="F7" s="225" t="e">
        <f ca="1">IF(
   _xlfn.XLOOKUP(C7,#REF!,#REF!,"Not Found")="",
   "No Data",
   _xlfn.XLOOKUP(C7,#REF!,#REF!,"Not Found")
)</f>
        <v>#NAME?</v>
      </c>
      <c r="G7" s="114">
        <v>4500</v>
      </c>
      <c r="H7" s="226">
        <v>300</v>
      </c>
      <c r="I7" s="232"/>
      <c r="J7" s="233"/>
      <c r="K7" s="233"/>
      <c r="L7" s="228"/>
      <c r="M7" s="229"/>
      <c r="N7" s="230"/>
      <c r="O7" s="231" t="e">
        <f ca="1">_xlfn.XLOOKUP(C7,#REF!,#REF!,"")</f>
        <v>#NAME?</v>
      </c>
      <c r="P7" s="231"/>
    </row>
    <row r="8" spans="1:16" x14ac:dyDescent="0.35">
      <c r="A8" s="222">
        <f t="shared" si="0"/>
        <v>6</v>
      </c>
      <c r="B8" s="223" t="s">
        <v>26</v>
      </c>
      <c r="C8" s="112" t="e">
        <f>#REF!</f>
        <v>#REF!</v>
      </c>
      <c r="D8" s="113" t="e">
        <f ca="1">_xlfn.XLOOKUP(C8,#REF!,#REF!,"")</f>
        <v>#NAME?</v>
      </c>
      <c r="E8" s="224" t="e">
        <f ca="1">_xlfn.XLOOKUP(C8,#REF!,#REF!,"")</f>
        <v>#NAME?</v>
      </c>
      <c r="F8" s="225" t="e">
        <f ca="1">IF(
   _xlfn.XLOOKUP(C8,#REF!,#REF!,"Not Found")="",
   "No Data",
   _xlfn.XLOOKUP(C8,#REF!,#REF!,"Not Found")
)</f>
        <v>#NAME?</v>
      </c>
      <c r="G8" s="114" t="e">
        <f ca="1">_xlfn.XLOOKUP(C8,#REF!,#REF!,"")</f>
        <v>#NAME?</v>
      </c>
      <c r="H8" s="226">
        <v>3716</v>
      </c>
      <c r="I8" s="232"/>
      <c r="J8" s="233"/>
      <c r="K8" s="233"/>
      <c r="L8" s="228"/>
      <c r="M8" s="229"/>
      <c r="N8" s="230"/>
      <c r="O8" s="231" t="e">
        <f ca="1">_xlfn.XLOOKUP(C8,#REF!,#REF!,"")</f>
        <v>#NAME?</v>
      </c>
      <c r="P8" s="231"/>
    </row>
    <row r="9" spans="1:16" x14ac:dyDescent="0.35">
      <c r="A9" s="222">
        <f t="shared" si="0"/>
        <v>7</v>
      </c>
      <c r="B9" s="223" t="s">
        <v>60</v>
      </c>
      <c r="C9" s="112" t="e">
        <f>#REF!</f>
        <v>#REF!</v>
      </c>
      <c r="D9" s="113" t="e">
        <f ca="1">_xlfn.XLOOKUP(C9,#REF!,#REF!,"")</f>
        <v>#NAME?</v>
      </c>
      <c r="E9" s="224" t="e">
        <f ca="1">_xlfn.XLOOKUP(C9,#REF!,#REF!,"")</f>
        <v>#NAME?</v>
      </c>
      <c r="F9" s="225" t="e">
        <f ca="1">IF(
   _xlfn.XLOOKUP(C9,#REF!,#REF!,"Not Found")="",
   "No Data",
   _xlfn.XLOOKUP(C9,#REF!,#REF!,"Not Found")
)</f>
        <v>#NAME?</v>
      </c>
      <c r="G9" s="114" t="e">
        <f ca="1">_xlfn.XLOOKUP(C9,#REF!,#REF!,"")</f>
        <v>#NAME?</v>
      </c>
      <c r="H9" s="226">
        <v>3417</v>
      </c>
      <c r="I9" s="232"/>
      <c r="J9" s="233"/>
      <c r="K9" s="233"/>
      <c r="L9" s="228"/>
      <c r="M9" s="229"/>
      <c r="N9" s="230"/>
      <c r="O9" s="231" t="e">
        <f ca="1">_xlfn.XLOOKUP(C9,#REF!,#REF!,"")</f>
        <v>#NAME?</v>
      </c>
      <c r="P9" s="231"/>
    </row>
    <row r="10" spans="1:16" x14ac:dyDescent="0.35">
      <c r="A10" s="222">
        <f t="shared" si="0"/>
        <v>8</v>
      </c>
      <c r="B10" s="223" t="s">
        <v>65</v>
      </c>
      <c r="C10" s="112" t="e">
        <f>#REF!</f>
        <v>#REF!</v>
      </c>
      <c r="D10" s="113" t="e">
        <f ca="1">_xlfn.XLOOKUP(C10,#REF!,#REF!,"")</f>
        <v>#NAME?</v>
      </c>
      <c r="E10" s="224" t="e">
        <f ca="1">_xlfn.XLOOKUP(C10,#REF!,#REF!,"")</f>
        <v>#NAME?</v>
      </c>
      <c r="F10" s="225" t="e">
        <f ca="1">IF(
   _xlfn.XLOOKUP(C10,#REF!,#REF!,"Not Found")="",
   "No Data",
   _xlfn.XLOOKUP(C10,#REF!,#REF!,"Not Found")
)</f>
        <v>#NAME?</v>
      </c>
      <c r="G10" s="114" t="e">
        <f ca="1">_xlfn.XLOOKUP(C10,#REF!,#REF!,"")</f>
        <v>#NAME?</v>
      </c>
      <c r="H10" s="226">
        <v>5362</v>
      </c>
      <c r="I10" s="232"/>
      <c r="J10" s="233"/>
      <c r="K10" s="233"/>
      <c r="L10" s="228"/>
      <c r="M10" s="229"/>
      <c r="N10" s="230"/>
      <c r="O10" s="231" t="e">
        <f ca="1">_xlfn.XLOOKUP(C10,#REF!,#REF!,"")</f>
        <v>#NAME?</v>
      </c>
      <c r="P10" s="231"/>
    </row>
    <row r="11" spans="1:16" x14ac:dyDescent="0.35">
      <c r="A11" s="222">
        <f t="shared" si="0"/>
        <v>9</v>
      </c>
      <c r="B11" s="223" t="s">
        <v>69</v>
      </c>
      <c r="C11" s="112" t="e">
        <f>#REF!</f>
        <v>#REF!</v>
      </c>
      <c r="D11" s="113" t="e">
        <f ca="1">_xlfn.XLOOKUP(C11,#REF!,#REF!,"")</f>
        <v>#NAME?</v>
      </c>
      <c r="E11" s="224" t="e">
        <f ca="1">_xlfn.XLOOKUP(C11,#REF!,#REF!,"")</f>
        <v>#NAME?</v>
      </c>
      <c r="F11" s="225" t="e">
        <f ca="1">IF(
   _xlfn.XLOOKUP(C11,#REF!,#REF!,"Not Found")="",
   "No Data",
   _xlfn.XLOOKUP(C11,#REF!,#REF!,"Not Found")
)</f>
        <v>#NAME?</v>
      </c>
      <c r="G11" s="114" t="e">
        <f ca="1">_xlfn.XLOOKUP(C11,#REF!,#REF!,"")</f>
        <v>#NAME?</v>
      </c>
      <c r="H11" s="226">
        <v>858</v>
      </c>
      <c r="I11" s="232"/>
      <c r="J11" s="233"/>
      <c r="K11" s="233"/>
      <c r="L11" s="228"/>
      <c r="M11" s="229"/>
      <c r="N11" s="230"/>
      <c r="O11" s="231" t="e">
        <f ca="1">_xlfn.XLOOKUP(C11,#REF!,#REF!,"")</f>
        <v>#NAME?</v>
      </c>
      <c r="P11" s="231"/>
    </row>
    <row r="12" spans="1:16" x14ac:dyDescent="0.35">
      <c r="A12" s="222">
        <f t="shared" si="0"/>
        <v>10</v>
      </c>
      <c r="B12" s="128" t="s">
        <v>74</v>
      </c>
      <c r="C12" s="112" t="e">
        <f>#REF!</f>
        <v>#REF!</v>
      </c>
      <c r="D12" s="113" t="e">
        <f ca="1">_xlfn.XLOOKUP(C12,#REF!,#REF!,"")</f>
        <v>#NAME?</v>
      </c>
      <c r="E12" s="224" t="e">
        <f ca="1">_xlfn.XLOOKUP(C12,#REF!,#REF!,"")</f>
        <v>#NAME?</v>
      </c>
      <c r="F12" s="225" t="e">
        <f ca="1">IF(
   _xlfn.XLOOKUP(C12,#REF!,#REF!,"Not Found")="",
   "No Data",
   _xlfn.XLOOKUP(C12,#REF!,#REF!,"Not Found")
)</f>
        <v>#NAME?</v>
      </c>
      <c r="G12" s="114" t="e">
        <f ca="1">_xlfn.XLOOKUP(C12,#REF!,#REF!,"")</f>
        <v>#NAME?</v>
      </c>
      <c r="H12" s="226">
        <v>8720</v>
      </c>
      <c r="I12" s="232"/>
      <c r="J12" s="233"/>
      <c r="K12" s="233"/>
      <c r="L12" s="228"/>
      <c r="M12" s="229"/>
      <c r="N12" s="230"/>
      <c r="O12" s="231" t="e">
        <f ca="1">_xlfn.XLOOKUP(C12,#REF!,#REF!,"")</f>
        <v>#NAME?</v>
      </c>
      <c r="P12" s="231"/>
    </row>
    <row r="13" spans="1:16" x14ac:dyDescent="0.35">
      <c r="A13" s="222">
        <f t="shared" si="0"/>
        <v>11</v>
      </c>
      <c r="B13" s="128" t="s">
        <v>203</v>
      </c>
      <c r="C13" s="112" t="e">
        <f>#REF!</f>
        <v>#REF!</v>
      </c>
      <c r="D13" s="113" t="e">
        <f ca="1">_xlfn.XLOOKUP(C13,#REF!,#REF!,"")</f>
        <v>#NAME?</v>
      </c>
      <c r="E13" s="224" t="e">
        <f ca="1">_xlfn.XLOOKUP(C13,#REF!,#REF!,"")</f>
        <v>#NAME?</v>
      </c>
      <c r="F13" s="225" t="e">
        <f ca="1">IF(
   _xlfn.XLOOKUP(C13,#REF!,#REF!,"Not Found")="",
   "No Data",
   _xlfn.XLOOKUP(C13,#REF!,#REF!,"Not Found")
)</f>
        <v>#NAME?</v>
      </c>
      <c r="G13" s="114" t="e">
        <f ca="1">_xlfn.XLOOKUP(C13,#REF!,#REF!,"")</f>
        <v>#NAME?</v>
      </c>
      <c r="H13" s="226">
        <v>2300</v>
      </c>
      <c r="I13" s="232"/>
      <c r="J13" s="233"/>
      <c r="K13" s="233"/>
      <c r="L13" s="228"/>
      <c r="M13" s="229"/>
      <c r="N13" s="230"/>
      <c r="O13" s="231" t="e">
        <f ca="1">_xlfn.XLOOKUP(C13,#REF!,#REF!,"")</f>
        <v>#NAME?</v>
      </c>
      <c r="P13" s="231" t="s">
        <v>202</v>
      </c>
    </row>
    <row r="14" spans="1:16" x14ac:dyDescent="0.35">
      <c r="A14" s="222">
        <f t="shared" si="0"/>
        <v>12</v>
      </c>
      <c r="B14" s="128" t="s">
        <v>74</v>
      </c>
      <c r="C14" s="112" t="e">
        <f>#REF!</f>
        <v>#REF!</v>
      </c>
      <c r="D14" s="113" t="e">
        <f ca="1">_xlfn.XLOOKUP(C14,#REF!,#REF!,"")</f>
        <v>#NAME?</v>
      </c>
      <c r="E14" s="224" t="e">
        <f ca="1">_xlfn.XLOOKUP(C14,#REF!,#REF!,"")</f>
        <v>#NAME?</v>
      </c>
      <c r="F14" s="225" t="e">
        <f ca="1">IF(
   _xlfn.XLOOKUP(C14,#REF!,#REF!,"Not Found")="",
   "No Data",
   _xlfn.XLOOKUP(C14,#REF!,#REF!,"Not Found")
)</f>
        <v>#NAME?</v>
      </c>
      <c r="G14" s="114" t="e">
        <f ca="1">_xlfn.XLOOKUP(C14,#REF!,#REF!,"")</f>
        <v>#NAME?</v>
      </c>
      <c r="H14" s="226">
        <v>19865</v>
      </c>
      <c r="I14" s="232"/>
      <c r="J14" s="234"/>
      <c r="K14" s="234"/>
      <c r="L14" s="228"/>
      <c r="M14" s="229"/>
      <c r="N14" s="230"/>
      <c r="O14" s="231" t="e">
        <f ca="1">_xlfn.XLOOKUP(C14,#REF!,#REF!,"")</f>
        <v>#NAME?</v>
      </c>
      <c r="P14" s="231"/>
    </row>
    <row r="15" spans="1:16" x14ac:dyDescent="0.35">
      <c r="A15" s="222">
        <f t="shared" si="0"/>
        <v>13</v>
      </c>
      <c r="B15" s="128" t="s">
        <v>84</v>
      </c>
      <c r="C15" s="112" t="e">
        <f>#REF!</f>
        <v>#REF!</v>
      </c>
      <c r="D15" s="113" t="e">
        <f ca="1">_xlfn.XLOOKUP(C15,#REF!,#REF!,"")</f>
        <v>#NAME?</v>
      </c>
      <c r="E15" s="224" t="e">
        <f ca="1">_xlfn.XLOOKUP(C15,#REF!,#REF!,"")</f>
        <v>#NAME?</v>
      </c>
      <c r="F15" s="225" t="e">
        <f ca="1">IF(
   _xlfn.XLOOKUP(C15,#REF!,#REF!,"Not Found")="",
   "No Data",
   _xlfn.XLOOKUP(C15,#REF!,#REF!,"Not Found")
)</f>
        <v>#NAME?</v>
      </c>
      <c r="G15" s="114" t="e">
        <f ca="1">_xlfn.XLOOKUP(C15,#REF!,#REF!,"")</f>
        <v>#NAME?</v>
      </c>
      <c r="H15" s="226">
        <v>250</v>
      </c>
      <c r="I15" s="226"/>
      <c r="J15" s="227"/>
      <c r="K15" s="227"/>
      <c r="L15" s="228"/>
      <c r="M15" s="229"/>
      <c r="N15" s="230"/>
      <c r="O15" s="231" t="e">
        <f ca="1">_xlfn.XLOOKUP(C15,#REF!,#REF!,"")</f>
        <v>#NAME?</v>
      </c>
      <c r="P15" s="231"/>
    </row>
    <row r="16" spans="1:16" x14ac:dyDescent="0.35">
      <c r="A16" s="222">
        <f t="shared" si="0"/>
        <v>14</v>
      </c>
      <c r="B16" s="223" t="s">
        <v>65</v>
      </c>
      <c r="C16" s="112" t="e">
        <f>#REF!</f>
        <v>#REF!</v>
      </c>
      <c r="D16" s="113" t="e">
        <f ca="1">_xlfn.XLOOKUP(C16,#REF!,#REF!,"")</f>
        <v>#NAME?</v>
      </c>
      <c r="E16" s="224" t="e">
        <f ca="1">_xlfn.XLOOKUP(C16,#REF!,#REF!,"")</f>
        <v>#NAME?</v>
      </c>
      <c r="F16" s="225" t="e">
        <f ca="1">IF(
   _xlfn.XLOOKUP(C16,#REF!,#REF!,"Not Found")="",
   "No Data",
   _xlfn.XLOOKUP(C16,#REF!,#REF!,"Not Found")
)</f>
        <v>#NAME?</v>
      </c>
      <c r="G16" s="114" t="e">
        <f ca="1">_xlfn.XLOOKUP(C16,#REF!,#REF!,"")</f>
        <v>#NAME?</v>
      </c>
      <c r="H16" s="226">
        <v>1000</v>
      </c>
      <c r="I16" s="226"/>
      <c r="J16" s="227"/>
      <c r="K16" s="227"/>
      <c r="L16" s="228"/>
      <c r="M16" s="229"/>
      <c r="N16" s="230"/>
      <c r="O16" s="231" t="e">
        <f ca="1">_xlfn.XLOOKUP(C16,#REF!,#REF!,"")</f>
        <v>#NAME?</v>
      </c>
      <c r="P16" s="231"/>
    </row>
    <row r="17" spans="1:16" x14ac:dyDescent="0.35">
      <c r="A17" s="222">
        <f t="shared" si="0"/>
        <v>15</v>
      </c>
      <c r="B17" s="223" t="s">
        <v>91</v>
      </c>
      <c r="C17" s="112" t="e">
        <f>#REF!</f>
        <v>#REF!</v>
      </c>
      <c r="D17" s="113" t="e">
        <f ca="1">_xlfn.XLOOKUP(C17,#REF!,#REF!,"")</f>
        <v>#NAME?</v>
      </c>
      <c r="E17" s="224" t="e">
        <f ca="1">_xlfn.XLOOKUP(C17,#REF!,#REF!,"")</f>
        <v>#NAME?</v>
      </c>
      <c r="F17" s="225" t="e">
        <f ca="1">IF(
   _xlfn.XLOOKUP(C17,#REF!,#REF!,"Not Found")="",
   "No Data",
   _xlfn.XLOOKUP(C17,#REF!,#REF!,"Not Found")
)</f>
        <v>#NAME?</v>
      </c>
      <c r="G17" s="114" t="e">
        <f ca="1">_xlfn.XLOOKUP(C17,#REF!,#REF!,"")</f>
        <v>#NAME?</v>
      </c>
      <c r="H17" s="226">
        <v>1023</v>
      </c>
      <c r="I17" s="226"/>
      <c r="J17" s="227"/>
      <c r="K17" s="227"/>
      <c r="L17" s="228"/>
      <c r="M17" s="229"/>
      <c r="N17" s="230"/>
      <c r="O17" s="231" t="e">
        <f ca="1">_xlfn.XLOOKUP(C17,#REF!,#REF!,"")</f>
        <v>#NAME?</v>
      </c>
      <c r="P17" s="231"/>
    </row>
    <row r="18" spans="1:16" x14ac:dyDescent="0.35">
      <c r="A18" s="222">
        <f t="shared" si="0"/>
        <v>16</v>
      </c>
      <c r="B18" s="223" t="s">
        <v>96</v>
      </c>
      <c r="C18" s="112" t="e">
        <f>#REF!</f>
        <v>#REF!</v>
      </c>
      <c r="D18" s="113" t="e">
        <f ca="1">_xlfn.XLOOKUP(C18,#REF!,#REF!,"")</f>
        <v>#NAME?</v>
      </c>
      <c r="E18" s="224" t="e">
        <f ca="1">_xlfn.XLOOKUP(C18,#REF!,#REF!,"")</f>
        <v>#NAME?</v>
      </c>
      <c r="F18" s="225" t="e">
        <f ca="1">IF(
   _xlfn.XLOOKUP(C18,#REF!,#REF!,"Not Found")="",
   "No Data",
   _xlfn.XLOOKUP(C18,#REF!,#REF!,"Not Found")
)</f>
        <v>#NAME?</v>
      </c>
      <c r="G18" s="114" t="e">
        <f ca="1">_xlfn.XLOOKUP(C18,#REF!,#REF!,"")</f>
        <v>#NAME?</v>
      </c>
      <c r="H18" s="226">
        <v>250</v>
      </c>
      <c r="I18" s="226"/>
      <c r="J18" s="227"/>
      <c r="K18" s="227"/>
      <c r="L18" s="228"/>
      <c r="M18" s="229"/>
      <c r="N18" s="230"/>
      <c r="O18" s="231" t="e">
        <f ca="1">_xlfn.XLOOKUP(C18,#REF!,#REF!,"")</f>
        <v>#NAME?</v>
      </c>
      <c r="P18" s="231"/>
    </row>
    <row r="19" spans="1:16" x14ac:dyDescent="0.35">
      <c r="A19" s="222">
        <f t="shared" si="0"/>
        <v>17</v>
      </c>
      <c r="B19" s="223" t="s">
        <v>99</v>
      </c>
      <c r="C19" s="112" t="e">
        <f>#REF!</f>
        <v>#REF!</v>
      </c>
      <c r="D19" s="113" t="e">
        <f ca="1">_xlfn.XLOOKUP(C19,#REF!,#REF!,"")</f>
        <v>#NAME?</v>
      </c>
      <c r="E19" s="224" t="e">
        <f ca="1">_xlfn.XLOOKUP(C19,#REF!,#REF!,"")</f>
        <v>#NAME?</v>
      </c>
      <c r="F19" s="225" t="e">
        <f ca="1">IF(
   _xlfn.XLOOKUP(C19,#REF!,#REF!,"Not Found")="",
   "No Data",
   _xlfn.XLOOKUP(C19,#REF!,#REF!,"Not Found")
)</f>
        <v>#NAME?</v>
      </c>
      <c r="G19" s="114" t="e">
        <f ca="1">_xlfn.XLOOKUP(C19,#REF!,#REF!,"")</f>
        <v>#NAME?</v>
      </c>
      <c r="H19" s="226">
        <v>6040</v>
      </c>
      <c r="I19" s="226"/>
      <c r="J19" s="227"/>
      <c r="K19" s="227"/>
      <c r="L19" s="228"/>
      <c r="M19" s="229"/>
      <c r="N19" s="230"/>
      <c r="O19" s="231" t="e">
        <f ca="1">_xlfn.XLOOKUP(C19,#REF!,#REF!,"")</f>
        <v>#NAME?</v>
      </c>
      <c r="P19" s="231"/>
    </row>
    <row r="20" spans="1:16" x14ac:dyDescent="0.35">
      <c r="A20" s="222">
        <f t="shared" si="0"/>
        <v>18</v>
      </c>
      <c r="B20" s="223" t="s">
        <v>103</v>
      </c>
      <c r="C20" s="112" t="e">
        <f>#REF!</f>
        <v>#REF!</v>
      </c>
      <c r="D20" s="113" t="e">
        <f ca="1">_xlfn.XLOOKUP(C20,#REF!,#REF!,"")</f>
        <v>#NAME?</v>
      </c>
      <c r="E20" s="224" t="e">
        <f ca="1">_xlfn.XLOOKUP(C20,#REF!,#REF!,"")</f>
        <v>#NAME?</v>
      </c>
      <c r="F20" s="225" t="e">
        <f ca="1">IF(
   _xlfn.XLOOKUP(C20,#REF!,#REF!,"Not Found")="",
   "No Data",
   _xlfn.XLOOKUP(C20,#REF!,#REF!,"Not Found")
)</f>
        <v>#NAME?</v>
      </c>
      <c r="G20" s="114" t="e">
        <f ca="1">_xlfn.XLOOKUP(C20,#REF!,#REF!,"")</f>
        <v>#NAME?</v>
      </c>
      <c r="H20" s="226">
        <v>21050</v>
      </c>
      <c r="I20" s="226"/>
      <c r="J20" s="227"/>
      <c r="K20" s="227"/>
      <c r="L20" s="228"/>
      <c r="M20" s="229"/>
      <c r="N20" s="230"/>
      <c r="O20" s="231" t="e">
        <f ca="1">_xlfn.XLOOKUP(C20,#REF!,#REF!,"")</f>
        <v>#NAME?</v>
      </c>
      <c r="P20" s="231"/>
    </row>
    <row r="21" spans="1:16" x14ac:dyDescent="0.35">
      <c r="A21" s="222">
        <f t="shared" si="0"/>
        <v>19</v>
      </c>
      <c r="B21" s="223" t="s">
        <v>108</v>
      </c>
      <c r="C21" s="112" t="e">
        <f>#REF!</f>
        <v>#REF!</v>
      </c>
      <c r="D21" s="113" t="e">
        <f ca="1">_xlfn.XLOOKUP(C21,#REF!,#REF!,"")</f>
        <v>#NAME?</v>
      </c>
      <c r="E21" s="224" t="e">
        <f ca="1">_xlfn.XLOOKUP(C21,#REF!,#REF!,"")</f>
        <v>#NAME?</v>
      </c>
      <c r="F21" s="225" t="e">
        <f ca="1">IF(
   _xlfn.XLOOKUP(C21,#REF!,#REF!,"Not Found")="",
   "No Data",
   _xlfn.XLOOKUP(C21,#REF!,#REF!,"Not Found")
)</f>
        <v>#NAME?</v>
      </c>
      <c r="G21" s="114" t="e">
        <f ca="1">_xlfn.XLOOKUP(C21,#REF!,#REF!,"")</f>
        <v>#NAME?</v>
      </c>
      <c r="H21" s="226">
        <v>1113</v>
      </c>
      <c r="I21" s="226"/>
      <c r="J21" s="227"/>
      <c r="K21" s="227"/>
      <c r="L21" s="228"/>
      <c r="M21" s="229"/>
      <c r="N21" s="230"/>
      <c r="O21" s="231" t="e">
        <f ca="1">_xlfn.XLOOKUP(C21,#REF!,#REF!,"")</f>
        <v>#NAME?</v>
      </c>
      <c r="P21" s="231"/>
    </row>
    <row r="22" spans="1:16" x14ac:dyDescent="0.35">
      <c r="A22" s="222">
        <f t="shared" si="0"/>
        <v>20</v>
      </c>
      <c r="B22" s="223" t="s">
        <v>112</v>
      </c>
      <c r="C22" s="112" t="e">
        <f>#REF!</f>
        <v>#REF!</v>
      </c>
      <c r="D22" s="113" t="e">
        <f ca="1">_xlfn.XLOOKUP(C22,#REF!,#REF!,"")</f>
        <v>#NAME?</v>
      </c>
      <c r="E22" s="224" t="e">
        <f ca="1">_xlfn.XLOOKUP(C22,#REF!,#REF!,"")</f>
        <v>#NAME?</v>
      </c>
      <c r="F22" s="225" t="e">
        <f ca="1">IF(
   _xlfn.XLOOKUP(C22,#REF!,#REF!,"Not Found")="",
   "No Data",
   _xlfn.XLOOKUP(C22,#REF!,#REF!,"Not Found")
)</f>
        <v>#NAME?</v>
      </c>
      <c r="G22" s="114" t="e">
        <f ca="1">_xlfn.XLOOKUP(C22,#REF!,#REF!,"")</f>
        <v>#NAME?</v>
      </c>
      <c r="H22" s="226">
        <v>1113</v>
      </c>
      <c r="I22" s="226"/>
      <c r="J22" s="227"/>
      <c r="K22" s="227"/>
      <c r="L22" s="228"/>
      <c r="M22" s="229"/>
      <c r="N22" s="230"/>
      <c r="O22" s="231" t="e">
        <f ca="1">_xlfn.XLOOKUP(C22,#REF!,#REF!,"")</f>
        <v>#NAME?</v>
      </c>
      <c r="P22" s="231"/>
    </row>
    <row r="23" spans="1:16" x14ac:dyDescent="0.35">
      <c r="A23" s="222">
        <f t="shared" si="0"/>
        <v>21</v>
      </c>
      <c r="B23" s="223" t="s">
        <v>115</v>
      </c>
      <c r="C23" s="112" t="e">
        <f>#REF!</f>
        <v>#REF!</v>
      </c>
      <c r="D23" s="113" t="e">
        <f ca="1">_xlfn.XLOOKUP(C23,#REF!,#REF!,"")</f>
        <v>#NAME?</v>
      </c>
      <c r="E23" s="224" t="e">
        <f ca="1">_xlfn.XLOOKUP(C23,#REF!,#REF!,"")</f>
        <v>#NAME?</v>
      </c>
      <c r="F23" s="225" t="e">
        <f ca="1">IF(
   _xlfn.XLOOKUP(C23,#REF!,#REF!,"Not Found")="",
   "No Data",
   _xlfn.XLOOKUP(C23,#REF!,#REF!,"Not Found")
)</f>
        <v>#NAME?</v>
      </c>
      <c r="G23" s="114" t="e">
        <f ca="1">_xlfn.XLOOKUP(C23,#REF!,#REF!,"")</f>
        <v>#NAME?</v>
      </c>
      <c r="H23" s="226">
        <v>5252</v>
      </c>
      <c r="I23" s="226"/>
      <c r="J23" s="227"/>
      <c r="K23" s="227"/>
      <c r="L23" s="235"/>
      <c r="M23" s="236"/>
      <c r="N23" s="230"/>
      <c r="O23" s="231" t="e">
        <f ca="1">_xlfn.XLOOKUP(C23,#REF!,#REF!,"")</f>
        <v>#NAME?</v>
      </c>
      <c r="P23" s="231"/>
    </row>
    <row r="24" spans="1:16" x14ac:dyDescent="0.35">
      <c r="A24" s="222">
        <f t="shared" si="0"/>
        <v>22</v>
      </c>
      <c r="B24" s="115" t="s">
        <v>123</v>
      </c>
      <c r="C24" s="112" t="e">
        <f>#REF!</f>
        <v>#REF!</v>
      </c>
      <c r="D24" s="113" t="e">
        <f ca="1">_xlfn.XLOOKUP(C24,#REF!,#REF!,"")</f>
        <v>#NAME?</v>
      </c>
      <c r="E24" s="224" t="e">
        <f ca="1">_xlfn.XLOOKUP(C24,#REF!,#REF!,"")</f>
        <v>#NAME?</v>
      </c>
      <c r="F24" s="225" t="e">
        <f ca="1">IF(
   _xlfn.XLOOKUP(C24,#REF!,#REF!,"Not Found")="",
   "No Data",
   _xlfn.XLOOKUP(C24,#REF!,#REF!,"Not Found")
)</f>
        <v>#NAME?</v>
      </c>
      <c r="G24" s="114" t="e">
        <f ca="1">_xlfn.XLOOKUP(C24,#REF!,#REF!,"")</f>
        <v>#NAME?</v>
      </c>
      <c r="H24" s="226">
        <v>0</v>
      </c>
      <c r="I24" s="226"/>
      <c r="J24" s="227"/>
      <c r="K24" s="227"/>
      <c r="L24" s="235"/>
      <c r="M24" s="236"/>
      <c r="N24" s="230"/>
      <c r="O24" s="231" t="e">
        <f ca="1">_xlfn.XLOOKUP(C24,#REF!,#REF!,"")</f>
        <v>#NAME?</v>
      </c>
      <c r="P24" s="231"/>
    </row>
    <row r="25" spans="1:16" x14ac:dyDescent="0.35">
      <c r="A25" s="222">
        <f>A24+1</f>
        <v>23</v>
      </c>
      <c r="B25" s="116" t="s">
        <v>128</v>
      </c>
      <c r="C25" s="112" t="e">
        <f>#REF!</f>
        <v>#REF!</v>
      </c>
      <c r="D25" s="113" t="e">
        <f ca="1">_xlfn.XLOOKUP(C25,#REF!,#REF!,"")</f>
        <v>#NAME?</v>
      </c>
      <c r="E25" s="224" t="e">
        <f ca="1">_xlfn.XLOOKUP(C25,#REF!,#REF!,"")</f>
        <v>#NAME?</v>
      </c>
      <c r="F25" s="225" t="e">
        <f ca="1">IF(
   _xlfn.XLOOKUP(C25,#REF!,#REF!,"Not Found")="",
   "No Data",
   _xlfn.XLOOKUP(C25,#REF!,#REF!,"Not Found")
)</f>
        <v>#NAME?</v>
      </c>
      <c r="G25" s="114" t="e">
        <f ca="1">_xlfn.XLOOKUP(C25,#REF!,#REF!,"")</f>
        <v>#NAME?</v>
      </c>
      <c r="H25" s="226">
        <v>0</v>
      </c>
      <c r="I25" s="226"/>
      <c r="J25" s="227"/>
      <c r="K25" s="227"/>
      <c r="L25" s="235"/>
      <c r="M25" s="236"/>
      <c r="N25" s="230"/>
      <c r="O25" s="231" t="e">
        <f ca="1">_xlfn.XLOOKUP(C25,#REF!,#REF!,"")</f>
        <v>#NAME?</v>
      </c>
      <c r="P25" s="231"/>
    </row>
    <row r="26" spans="1:16" ht="29" x14ac:dyDescent="0.35">
      <c r="A26" s="222">
        <f t="shared" si="0"/>
        <v>24</v>
      </c>
      <c r="B26" s="237" t="s">
        <v>137</v>
      </c>
      <c r="C26" s="112" t="s">
        <v>138</v>
      </c>
      <c r="D26" s="238">
        <v>22680</v>
      </c>
      <c r="E26" s="225">
        <v>46188</v>
      </c>
      <c r="F26" s="225" t="e">
        <f ca="1">IF(
   _xlfn.XLOOKUP(C26,#REF!,#REF!,"Not Found")="",
   "No Data",
   _xlfn.XLOOKUP(C26,#REF!,#REF!,"Not Found")
)</f>
        <v>#NAME?</v>
      </c>
      <c r="G26" s="114">
        <v>22680</v>
      </c>
      <c r="H26" s="226">
        <v>5160</v>
      </c>
      <c r="I26" s="226"/>
      <c r="J26" s="227"/>
      <c r="K26" s="227"/>
      <c r="L26" s="235"/>
      <c r="M26" s="236"/>
      <c r="N26" s="230"/>
      <c r="O26" s="231" t="e">
        <f ca="1">_xlfn.XLOOKUP(C26,#REF!,#REF!,"")</f>
        <v>#NAME?</v>
      </c>
      <c r="P26" s="111"/>
    </row>
    <row r="27" spans="1:16" ht="29" x14ac:dyDescent="0.35">
      <c r="A27" s="239">
        <v>25</v>
      </c>
      <c r="B27" s="240" t="s">
        <v>139</v>
      </c>
      <c r="C27" s="117" t="s">
        <v>143</v>
      </c>
      <c r="D27" s="241">
        <v>24997.5</v>
      </c>
      <c r="E27" s="242">
        <v>46139</v>
      </c>
      <c r="F27" s="225" t="e">
        <f ca="1">IF(
   _xlfn.XLOOKUP(C27,#REF!,#REF!,"Not Found")="",
   "No Data",
   _xlfn.XLOOKUP(C27,#REF!,#REF!,"Not Found")
)</f>
        <v>#NAME?</v>
      </c>
      <c r="G27" s="118">
        <v>24997.5</v>
      </c>
      <c r="H27" s="243">
        <v>4000</v>
      </c>
      <c r="I27" s="243"/>
      <c r="J27" s="244"/>
      <c r="K27" s="245"/>
      <c r="L27" s="235"/>
      <c r="M27" s="236"/>
      <c r="N27" s="246"/>
      <c r="O27" s="231" t="e">
        <f ca="1">_xlfn.XLOOKUP(C27,#REF!,#REF!,"")</f>
        <v>#NAME?</v>
      </c>
      <c r="P27" s="111"/>
    </row>
    <row r="28" spans="1:16" ht="29" x14ac:dyDescent="0.35">
      <c r="A28" s="239">
        <f>A27+1</f>
        <v>26</v>
      </c>
      <c r="B28" s="240" t="s">
        <v>144</v>
      </c>
      <c r="C28" s="119" t="s">
        <v>146</v>
      </c>
      <c r="D28" s="241">
        <v>25925</v>
      </c>
      <c r="E28" s="242">
        <v>46199</v>
      </c>
      <c r="F28" s="225" t="e">
        <f ca="1">IF(
   _xlfn.XLOOKUP(C28,#REF!,#REF!,"Not Found")="",
   "No Data",
   _xlfn.XLOOKUP(C28,#REF!,#REF!,"Not Found")
)</f>
        <v>#NAME?</v>
      </c>
      <c r="G28" s="118">
        <v>27999</v>
      </c>
      <c r="H28" s="243">
        <v>6840</v>
      </c>
      <c r="I28" s="243"/>
      <c r="J28" s="244" t="s">
        <v>34</v>
      </c>
      <c r="K28" s="245" t="s">
        <v>34</v>
      </c>
      <c r="L28" s="235"/>
      <c r="M28" s="236"/>
      <c r="N28" s="246"/>
      <c r="O28" s="231" t="e">
        <f ca="1">_xlfn.XLOOKUP(C28,#REF!,#REF!,"")</f>
        <v>#NAME?</v>
      </c>
      <c r="P28" s="111"/>
    </row>
    <row r="29" spans="1:16" ht="29" x14ac:dyDescent="0.35">
      <c r="A29" s="239">
        <v>26</v>
      </c>
      <c r="B29" s="240" t="s">
        <v>147</v>
      </c>
      <c r="C29" s="119" t="s">
        <v>151</v>
      </c>
      <c r="D29" s="241">
        <v>445500</v>
      </c>
      <c r="E29" s="242">
        <v>46210</v>
      </c>
      <c r="F29" s="225" t="e">
        <f ca="1">IF(
   _xlfn.XLOOKUP(C29,#REF!,#REF!,"Not Found")="",
   "No Data",
   _xlfn.XLOOKUP(C29,#REF!,#REF!,"Not Found")
)</f>
        <v>#NAME?</v>
      </c>
      <c r="G29" s="118">
        <v>481140</v>
      </c>
      <c r="H29" s="243">
        <v>123364</v>
      </c>
      <c r="I29" s="243"/>
      <c r="J29" s="244"/>
      <c r="K29" s="245"/>
      <c r="L29" s="235"/>
      <c r="M29" s="236"/>
      <c r="N29" s="246"/>
      <c r="O29" s="231" t="e">
        <f ca="1">_xlfn.XLOOKUP(C29,#REF!,#REF!,"")</f>
        <v>#NAME?</v>
      </c>
      <c r="P29" s="111"/>
    </row>
    <row r="30" spans="1:16" ht="29" x14ac:dyDescent="0.35">
      <c r="A30" s="247">
        <f>A29+1</f>
        <v>27</v>
      </c>
      <c r="B30" s="237" t="s">
        <v>153</v>
      </c>
      <c r="C30" s="119" t="s">
        <v>156</v>
      </c>
      <c r="D30" s="241">
        <v>22037.040000000001</v>
      </c>
      <c r="E30" s="242">
        <v>46210</v>
      </c>
      <c r="F30" s="225" t="e">
        <f ca="1">IF(
   _xlfn.XLOOKUP(C30,#REF!,#REF!,"Not Found")="",
   "No Data",
   _xlfn.XLOOKUP(C30,#REF!,#REF!,"Not Found")
)</f>
        <v>#NAME?</v>
      </c>
      <c r="G30" s="118">
        <v>23800</v>
      </c>
      <c r="H30" s="243">
        <v>8840</v>
      </c>
      <c r="I30" s="243"/>
      <c r="J30" s="244" t="s">
        <v>34</v>
      </c>
      <c r="K30" s="245" t="s">
        <v>34</v>
      </c>
      <c r="L30" s="235"/>
      <c r="M30" s="236"/>
      <c r="N30" s="246"/>
      <c r="O30" s="231" t="e">
        <f ca="1">_xlfn.XLOOKUP(C30,#REF!,#REF!,"")</f>
        <v>#NAME?</v>
      </c>
      <c r="P30" s="111"/>
    </row>
    <row r="31" spans="1:16" ht="29" x14ac:dyDescent="0.35">
      <c r="A31" s="222">
        <v>27</v>
      </c>
      <c r="B31" s="240" t="s">
        <v>157</v>
      </c>
      <c r="C31" s="160" t="s">
        <v>48</v>
      </c>
      <c r="D31" s="248">
        <v>25000</v>
      </c>
      <c r="E31" s="249">
        <v>46195</v>
      </c>
      <c r="F31" s="250" t="e">
        <f ca="1">IF(
   _xlfn.XLOOKUP(C31,#REF!,#REF!,"Not Found")="",
   "No Data",
   _xlfn.XLOOKUP(C31,#REF!,#REF!,"Not Found")
)</f>
        <v>#NAME?</v>
      </c>
      <c r="G31" s="118">
        <v>27000</v>
      </c>
      <c r="H31" s="243">
        <v>17301</v>
      </c>
      <c r="I31" s="243"/>
      <c r="J31" s="244" t="s">
        <v>34</v>
      </c>
      <c r="K31" s="245"/>
      <c r="L31" s="235"/>
      <c r="M31" s="236">
        <v>0.31</v>
      </c>
      <c r="N31" s="246"/>
      <c r="O31" s="231" t="e">
        <f ca="1">_xlfn.XLOOKUP(C31,#REF!,#REF!,"")</f>
        <v>#NAME?</v>
      </c>
      <c r="P31" s="111" t="s">
        <v>204</v>
      </c>
    </row>
    <row r="32" spans="1:16" ht="29" x14ac:dyDescent="0.35">
      <c r="A32" s="222">
        <v>28</v>
      </c>
      <c r="B32" s="251" t="s">
        <v>52</v>
      </c>
      <c r="C32" s="160" t="s">
        <v>181</v>
      </c>
      <c r="D32" s="252">
        <v>9259.26</v>
      </c>
      <c r="E32" s="253">
        <v>46181</v>
      </c>
      <c r="F32" s="158">
        <v>46211</v>
      </c>
      <c r="G32" s="159">
        <v>10000</v>
      </c>
      <c r="H32" s="243"/>
      <c r="I32" s="243"/>
      <c r="J32" s="244" t="s">
        <v>34</v>
      </c>
      <c r="K32" s="245"/>
      <c r="L32" s="235"/>
      <c r="M32" s="236"/>
      <c r="N32" s="246"/>
      <c r="O32" s="254"/>
      <c r="P32" s="111" t="s">
        <v>205</v>
      </c>
    </row>
    <row r="33" spans="1:16" ht="29" x14ac:dyDescent="0.35">
      <c r="A33" s="222">
        <v>29</v>
      </c>
      <c r="B33" s="240" t="s">
        <v>206</v>
      </c>
      <c r="C33" s="160" t="s">
        <v>207</v>
      </c>
      <c r="D33" s="252"/>
      <c r="E33" s="253"/>
      <c r="F33" s="225">
        <v>46110</v>
      </c>
      <c r="G33" s="159">
        <v>5500</v>
      </c>
      <c r="H33" s="243"/>
      <c r="I33" s="243"/>
      <c r="J33" s="244" t="s">
        <v>34</v>
      </c>
      <c r="K33" s="245"/>
      <c r="L33" s="235"/>
      <c r="M33" s="236"/>
      <c r="N33" s="246"/>
      <c r="O33" s="254"/>
      <c r="P33" s="111" t="s">
        <v>208</v>
      </c>
    </row>
    <row r="34" spans="1:16" x14ac:dyDescent="0.35">
      <c r="A34" s="222">
        <v>30</v>
      </c>
      <c r="B34" s="240" t="s">
        <v>172</v>
      </c>
      <c r="C34" s="112"/>
      <c r="D34" s="255"/>
      <c r="E34" s="256"/>
      <c r="F34" s="257"/>
      <c r="G34" s="100">
        <v>3000</v>
      </c>
      <c r="H34" s="243"/>
      <c r="I34" s="243"/>
      <c r="J34" s="244"/>
      <c r="K34" s="245"/>
      <c r="L34" s="235"/>
      <c r="M34" s="236"/>
      <c r="N34" s="246"/>
      <c r="O34" s="254"/>
      <c r="P34" s="111"/>
    </row>
    <row r="35" spans="1:16" ht="29" x14ac:dyDescent="0.35">
      <c r="A35" s="258">
        <v>31</v>
      </c>
      <c r="B35" s="259" t="s">
        <v>209</v>
      </c>
      <c r="C35" s="156" t="s">
        <v>176</v>
      </c>
      <c r="D35" s="252">
        <v>1388.89</v>
      </c>
      <c r="E35" s="157">
        <v>46078</v>
      </c>
      <c r="F35" s="155">
        <v>46108</v>
      </c>
      <c r="G35" s="201">
        <v>1500</v>
      </c>
      <c r="H35" s="243"/>
      <c r="I35" s="243"/>
      <c r="J35" s="244"/>
      <c r="K35" s="245"/>
      <c r="L35" s="235"/>
      <c r="M35" s="236"/>
      <c r="N35" s="246"/>
      <c r="O35" s="254"/>
      <c r="P35" s="111"/>
    </row>
    <row r="36" spans="1:16" ht="17.5" x14ac:dyDescent="0.35">
      <c r="A36" s="258">
        <v>32</v>
      </c>
      <c r="B36" s="259" t="s">
        <v>210</v>
      </c>
      <c r="C36" s="160"/>
      <c r="D36" s="96"/>
      <c r="E36" s="260"/>
      <c r="F36" s="261"/>
      <c r="G36" s="185">
        <v>51673.23</v>
      </c>
      <c r="H36" s="243"/>
      <c r="I36" s="243"/>
      <c r="J36" s="244"/>
      <c r="K36" s="245"/>
      <c r="L36" s="235"/>
      <c r="M36" s="236"/>
      <c r="N36" s="246"/>
      <c r="O36" s="254"/>
      <c r="P36" s="111"/>
    </row>
    <row r="37" spans="1:16" x14ac:dyDescent="0.35">
      <c r="A37" s="239"/>
      <c r="B37" s="259"/>
      <c r="C37" s="156"/>
      <c r="D37" s="252"/>
      <c r="E37" s="260"/>
      <c r="F37" s="257"/>
      <c r="G37" s="154"/>
      <c r="H37" s="243"/>
      <c r="I37" s="243"/>
      <c r="J37" s="244"/>
      <c r="K37" s="245"/>
      <c r="L37" s="235"/>
      <c r="M37" s="236"/>
      <c r="N37" s="246"/>
      <c r="O37" s="254"/>
      <c r="P37" s="111"/>
    </row>
    <row r="38" spans="1:16" x14ac:dyDescent="0.35">
      <c r="A38" s="120" t="s">
        <v>191</v>
      </c>
      <c r="B38" s="121"/>
      <c r="C38" s="122"/>
      <c r="D38" s="123" t="e">
        <f ca="1">SUM(D3:D31)</f>
        <v>#NAME?</v>
      </c>
      <c r="E38" s="122"/>
      <c r="F38" s="262"/>
      <c r="G38" s="123" t="e">
        <f ca="1">SUM(G3:G37)</f>
        <v>#NAME?</v>
      </c>
      <c r="H38" s="124">
        <f>SUM(H3:H37)</f>
        <v>254067</v>
      </c>
      <c r="I38" s="124"/>
      <c r="J38" s="124">
        <f>SUM(J3:J26)</f>
        <v>0</v>
      </c>
      <c r="K38" s="125">
        <f>SUM(K3:K26)</f>
        <v>0</v>
      </c>
      <c r="L38" s="263">
        <f>SUM(L3:L26)</f>
        <v>0</v>
      </c>
      <c r="M38" s="264" t="e">
        <f t="shared" ref="M38" ca="1" si="1">L38/G38</f>
        <v>#NAME?</v>
      </c>
      <c r="N38" s="126"/>
      <c r="O38" s="127"/>
      <c r="P38" s="231"/>
    </row>
  </sheetData>
  <mergeCells count="15">
    <mergeCell ref="G1:G2"/>
    <mergeCell ref="A1:A2"/>
    <mergeCell ref="B1:B2"/>
    <mergeCell ref="C1:C2"/>
    <mergeCell ref="E1:E2"/>
    <mergeCell ref="F1:F2"/>
    <mergeCell ref="N1:N2"/>
    <mergeCell ref="O1:O2"/>
    <mergeCell ref="P1:P2"/>
    <mergeCell ref="H1:H2"/>
    <mergeCell ref="I1:I2"/>
    <mergeCell ref="J1:J2"/>
    <mergeCell ref="K1:K2"/>
    <mergeCell ref="L1:L2"/>
    <mergeCell ref="M1:M2"/>
  </mergeCells>
  <dataValidations count="4">
    <dataValidation type="list" allowBlank="1" showInputMessage="1" showErrorMessage="1" sqref="N3:N37" xr:uid="{22E6D297-ECC1-459F-BC81-BE6891A2DECD}">
      <formula1>"FAMA, REL, WATERFAB,R&amp;D,ITIC,OTHERS,"</formula1>
    </dataValidation>
    <dataValidation type="list" allowBlank="1" showInputMessage="1" showErrorMessage="1" sqref="J3:K13 J26:K37" xr:uid="{27CAF1E0-336F-4E9C-8D84-E8AAFB86391F}">
      <formula1>"MTSB,MIMOS,MSSB,MHSB"</formula1>
    </dataValidation>
    <dataValidation type="list" allowBlank="1" showInputMessage="1" showErrorMessage="1" sqref="J22:K25 J3:K14" xr:uid="{942F9A06-4439-45B8-8BF5-9AA372BEF2ED}">
      <formula1>"MTSB,MIMOS,MTSB,MHSB"</formula1>
    </dataValidation>
    <dataValidation type="list" allowBlank="1" showInputMessage="1" showErrorMessage="1" sqref="J15:K25" xr:uid="{038140EE-C723-4D02-B42C-EE91A61167EF}">
      <formula1>"MTSB,MIMOS"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F9B6FD401024CA945249B6E0DC146" ma:contentTypeVersion="17" ma:contentTypeDescription="Create a new document." ma:contentTypeScope="" ma:versionID="982deb0965f4e14de2b395d8b2533b00">
  <xsd:schema xmlns:xsd="http://www.w3.org/2001/XMLSchema" xmlns:xs="http://www.w3.org/2001/XMLSchema" xmlns:p="http://schemas.microsoft.com/office/2006/metadata/properties" xmlns:ns2="5f3daaf4-d967-4da0-ad17-adb95c5ace20" xmlns:ns3="09211326-89ad-4bd0-b6dd-aff52ca67a21" targetNamespace="http://schemas.microsoft.com/office/2006/metadata/properties" ma:root="true" ma:fieldsID="675470a2dadd6acbe58ea066200e54d8" ns2:_="" ns3:_="">
    <xsd:import namespace="5f3daaf4-d967-4da0-ad17-adb95c5ace20"/>
    <xsd:import namespace="09211326-89ad-4bd0-b6dd-aff52ca67a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  <xsd:element ref="ns2:TrainerName" minOccurs="0"/>
                <xsd:element ref="ns2:TrainerCategory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daaf4-d967-4da0-ad17-adb95c5ac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fa8d7b5-0ee0-41c3-9aa4-eae2f4059a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TrainerName" ma:index="22" nillable="true" ma:displayName="Trainer Name" ma:format="Dropdown" ma:internalName="TrainerName">
      <xsd:simpleType>
        <xsd:restriction base="dms:Text">
          <xsd:maxLength value="255"/>
        </xsd:restriction>
      </xsd:simpleType>
    </xsd:element>
    <xsd:element name="TrainerCategory" ma:index="23" nillable="true" ma:displayName="Trainer Category" ma:format="Dropdown" ma:internalName="TrainerCategory">
      <xsd:simpleType>
        <xsd:restriction base="dms:Choice">
          <xsd:enumeration value="Freelance"/>
          <xsd:enumeration value="Training Partner"/>
          <xsd:enumeration value="Freelance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11326-89ad-4bd0-b6dd-aff52ca67a2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4a0c7f6-087e-4659-9262-e5256959297d}" ma:internalName="TaxCatchAll" ma:showField="CatchAllData" ma:web="09211326-89ad-4bd0-b6dd-aff52ca67a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3daaf4-d967-4da0-ad17-adb95c5ace20">
      <Terms xmlns="http://schemas.microsoft.com/office/infopath/2007/PartnerControls"/>
    </lcf76f155ced4ddcb4097134ff3c332f>
    <TaxCatchAll xmlns="09211326-89ad-4bd0-b6dd-aff52ca67a21" xsi:nil="true"/>
    <TrainerCategory xmlns="5f3daaf4-d967-4da0-ad17-adb95c5ace20" xsi:nil="true"/>
    <TrainerName xmlns="5f3daaf4-d967-4da0-ad17-adb95c5ace2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E067C6-D2C5-436C-988C-12C4A8F224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daaf4-d967-4da0-ad17-adb95c5ace20"/>
    <ds:schemaRef ds:uri="09211326-89ad-4bd0-b6dd-aff52ca67a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B2FC95-9ED7-4D30-AFCB-1D5B0B5A5414}">
  <ds:schemaRefs>
    <ds:schemaRef ds:uri="http://schemas.microsoft.com/office/2006/metadata/properties"/>
    <ds:schemaRef ds:uri="http://schemas.microsoft.com/office/infopath/2007/PartnerControls"/>
    <ds:schemaRef ds:uri="5f3daaf4-d967-4da0-ad17-adb95c5ace20"/>
    <ds:schemaRef ds:uri="09211326-89ad-4bd0-b6dd-aff52ca67a21"/>
  </ds:schemaRefs>
</ds:datastoreItem>
</file>

<file path=customXml/itemProps3.xml><?xml version="1.0" encoding="utf-8"?>
<ds:datastoreItem xmlns:ds="http://schemas.openxmlformats.org/officeDocument/2006/customXml" ds:itemID="{CEE84C48-8FEE-423D-97CB-1FE11DB396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Cost of Sale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Siti Sarah Ramli</dc:creator>
  <cp:keywords/>
  <dc:description/>
  <cp:lastModifiedBy>Mohd Abu Sa'id Abdul Razak</cp:lastModifiedBy>
  <cp:revision/>
  <dcterms:created xsi:type="dcterms:W3CDTF">2025-10-08T01:30:02Z</dcterms:created>
  <dcterms:modified xsi:type="dcterms:W3CDTF">2026-08-27T00:43:58Z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0x010100A3FF9B6FD401024CA945249B6E0DC146</vt:lpwstr>
  </property>
  <property fmtid="{D5CDD505-2E9C-101B-9397-08002B2CF9AE}" pid="3" name="MediaServiceImageTags">
    <vt:lpwstr/>
  </property>
</Properties>
</file>